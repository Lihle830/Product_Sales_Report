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lie\OneDrive\Desktop\"/>
    </mc:Choice>
  </mc:AlternateContent>
  <bookViews>
    <workbookView xWindow="0" yWindow="0" windowWidth="7476" windowHeight="2520" activeTab="4"/>
  </bookViews>
  <sheets>
    <sheet name="Summary of Sales &amp; Profit" sheetId="8" r:id="rId1"/>
    <sheet name="Profit&amp;Loss" sheetId="6" r:id="rId2"/>
    <sheet name=" Price Elasticity Summary" sheetId="4" r:id="rId3"/>
    <sheet name="Promotion Seasons" sheetId="5" r:id="rId4"/>
    <sheet name="Sales Per Year" sheetId="2" r:id="rId5"/>
    <sheet name="Total Sales" sheetId="1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<sst xmlns="http://schemas.openxmlformats.org/spreadsheetml/2006/main" count="339" uniqueCount="106">
  <si>
    <t>Year</t>
  </si>
  <si>
    <t>Month</t>
  </si>
  <si>
    <t>Total_Sales</t>
  </si>
  <si>
    <t>Total_Cost</t>
  </si>
  <si>
    <t>Total_Quantity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</si>
  <si>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</si>
  <si>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</si>
  <si>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</si>
  <si>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</si>
  <si>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</si>
  <si>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</si>
  <si>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</si>
  <si>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</si>
  <si>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</si>
  <si>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</si>
  <si>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</si>
  <si>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</si>
  <si>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Row Labels</t>
  </si>
  <si>
    <t>Grand Total</t>
  </si>
  <si>
    <t>Sum of Total_Sales</t>
  </si>
  <si>
    <t>Sum of Total_Cost</t>
  </si>
  <si>
    <t>Sum of Total_Quantity</t>
  </si>
  <si>
    <t>Price Elasticity of Demand (PED)</t>
  </si>
  <si>
    <t>% Change in Price</t>
  </si>
  <si>
    <t>Unit Price</t>
  </si>
  <si>
    <t>Unit Price=Total Sales/Total Quantit</t>
  </si>
  <si>
    <t>%ΔPrice</t>
  </si>
  <si>
    <t>% Change in Quantity</t>
  </si>
  <si>
    <t>Δprice</t>
  </si>
  <si>
    <t xml:space="preserve">%Δquantity </t>
  </si>
  <si>
    <r>
      <t xml:space="preserve">Interpretation: </t>
    </r>
    <r>
      <rPr>
        <b/>
        <sz val="10"/>
        <color rgb="FF000000"/>
        <rFont val="Arial"/>
        <family val="2"/>
        <scheme val="minor"/>
      </rPr>
      <t>very elastic demand</t>
    </r>
    <r>
      <rPr>
        <sz val="10"/>
        <color rgb="FF000000"/>
        <rFont val="Arial"/>
        <family val="2"/>
        <scheme val="minor"/>
      </rPr>
      <t xml:space="preserve"> — small price drop caused huge increase in sales.</t>
    </r>
  </si>
  <si>
    <t>February 2014 vs January 2014</t>
  </si>
  <si>
    <t xml:space="preserve">PED=% Change in Price% /Change in Quantity </t>
  </si>
  <si>
    <t>August 2014 vs July 2014</t>
  </si>
  <si>
    <t>% Change in Price= New Price−Old Price/Old Price×100</t>
  </si>
  <si>
    <t>%ΔPrice= Feb Price−Jan Price/ Jan Price ​×100</t>
  </si>
  <si>
    <t>%ΔQuantity=Feb Quantity−Jan Quantity/ Jan Quantity ×100</t>
  </si>
  <si>
    <t>PED= % Change in Quantity/% Change in Price  48.4/2.74=17.7</t>
  </si>
  <si>
    <t>PED= % Change in Quantity/% Change in Price 110.6/-3.36​=−30.5</t>
  </si>
  <si>
    <t>May 2015 vs April 2015</t>
  </si>
  <si>
    <t>Unit Price= Total Sales/ Total Quantity</t>
  </si>
  <si>
    <t>Unit Price= Total Sales​/ Total Quantity</t>
  </si>
  <si>
    <t>%ΔPrice=(37.97−38.80)/38.80 ​×100=−2.13%</t>
  </si>
  <si>
    <t>PED= % Change in Quantity/% Change in Price  43.6/−2.13 =−20.5</t>
  </si>
  <si>
    <t>Total Sales (R)</t>
  </si>
  <si>
    <t>Total Quantity</t>
  </si>
  <si>
    <t>Unit Price (R)</t>
  </si>
  <si>
    <t>%ΔQuantity</t>
  </si>
  <si>
    <t>PED</t>
  </si>
  <si>
    <t>Promotion Effect</t>
  </si>
  <si>
    <t>5,780,487.18</t>
  </si>
  <si>
    <t>32.48</t>
  </si>
  <si>
    <t>-2.74%</t>
  </si>
  <si>
    <t>48.4%</t>
  </si>
  <si>
    <t>-17.7</t>
  </si>
  <si>
    <t>10,010,378.29</t>
  </si>
  <si>
    <t>32.25</t>
  </si>
  <si>
    <t>-3.63%</t>
  </si>
  <si>
    <t>110.6%</t>
  </si>
  <si>
    <t>-30.5</t>
  </si>
  <si>
    <t>8,384,367.24</t>
  </si>
  <si>
    <t>37.97</t>
  </si>
  <si>
    <t>-2.13%</t>
  </si>
  <si>
    <t>43.6%</t>
  </si>
  <si>
    <t>-20.5</t>
  </si>
  <si>
    <t>Elasticity Type</t>
  </si>
  <si>
    <t>Interpretation</t>
  </si>
  <si>
    <t>Comment</t>
  </si>
  <si>
    <t>Highly elastic</t>
  </si>
  <si>
    <t>Extremely elastic</t>
  </si>
  <si>
    <r>
      <t xml:space="preserve">A small </t>
    </r>
    <r>
      <rPr>
        <b/>
        <sz val="11"/>
        <color theme="1"/>
        <rFont val="Arial"/>
        <family val="2"/>
        <scheme val="minor"/>
      </rPr>
      <t>2.7% price drop</t>
    </r>
    <r>
      <rPr>
        <sz val="10"/>
        <color rgb="FF000000"/>
        <rFont val="Arial"/>
        <scheme val="minor"/>
      </rPr>
      <t xml:space="preserve"> led to a </t>
    </r>
    <r>
      <rPr>
        <b/>
        <sz val="11"/>
        <color theme="1"/>
        <rFont val="Arial"/>
        <family val="2"/>
        <scheme val="minor"/>
      </rPr>
      <t>48.4% increase</t>
    </r>
    <r>
      <rPr>
        <sz val="10"/>
        <color rgb="FF000000"/>
        <rFont val="Arial"/>
        <scheme val="minor"/>
      </rPr>
      <t xml:space="preserve"> in quantity sold.</t>
    </r>
  </si>
  <si>
    <r>
      <t xml:space="preserve">Consumers were </t>
    </r>
    <r>
      <rPr>
        <b/>
        <sz val="11"/>
        <color theme="1"/>
        <rFont val="Arial"/>
        <family val="2"/>
        <scheme val="minor"/>
      </rPr>
      <t>extremely responsive</t>
    </r>
    <r>
      <rPr>
        <sz val="10"/>
        <color rgb="FF000000"/>
        <rFont val="Arial"/>
        <scheme val="minor"/>
      </rPr>
      <t xml:space="preserve"> to the price change — strong indication that the </t>
    </r>
    <r>
      <rPr>
        <b/>
        <sz val="11"/>
        <color theme="1"/>
        <rFont val="Arial"/>
        <family val="2"/>
        <scheme val="minor"/>
      </rPr>
      <t>promotion was very effective</t>
    </r>
    <r>
      <rPr>
        <sz val="10"/>
        <color rgb="FF000000"/>
        <rFont val="Arial"/>
        <scheme val="minor"/>
      </rPr>
      <t>.</t>
    </r>
  </si>
  <si>
    <r>
      <t xml:space="preserve">This shows </t>
    </r>
    <r>
      <rPr>
        <b/>
        <sz val="11"/>
        <color theme="1"/>
        <rFont val="Arial"/>
        <family val="2"/>
        <scheme val="minor"/>
      </rPr>
      <t>very high price sensitivity</t>
    </r>
    <r>
      <rPr>
        <sz val="10"/>
        <color rgb="FF000000"/>
        <rFont val="Arial"/>
        <scheme val="minor"/>
      </rPr>
      <t xml:space="preserve"> — lowering prices greatly boosted demand and revenue.</t>
    </r>
  </si>
  <si>
    <r>
      <t xml:space="preserve">Only a </t>
    </r>
    <r>
      <rPr>
        <b/>
        <sz val="11"/>
        <color theme="1"/>
        <rFont val="Arial"/>
        <family val="2"/>
        <scheme val="minor"/>
      </rPr>
      <t>2.1% drop in price</t>
    </r>
    <r>
      <rPr>
        <sz val="10"/>
        <color rgb="FF000000"/>
        <rFont val="Arial"/>
        <scheme val="minor"/>
      </rPr>
      <t xml:space="preserve"> drove a </t>
    </r>
    <r>
      <rPr>
        <b/>
        <sz val="11"/>
        <color theme="1"/>
        <rFont val="Arial"/>
        <family val="2"/>
        <scheme val="minor"/>
      </rPr>
      <t>43.6% increase in quantity</t>
    </r>
    <r>
      <rPr>
        <sz val="10"/>
        <color rgb="FF000000"/>
        <rFont val="Arial"/>
        <scheme val="minor"/>
      </rPr>
      <t>.</t>
    </r>
  </si>
  <si>
    <r>
      <t xml:space="preserve">The market remained </t>
    </r>
    <r>
      <rPr>
        <b/>
        <sz val="11"/>
        <color theme="1"/>
        <rFont val="Arial"/>
        <family val="2"/>
        <scheme val="minor"/>
      </rPr>
      <t>highly price-sensitive</t>
    </r>
    <r>
      <rPr>
        <sz val="10"/>
        <color rgb="FF000000"/>
        <rFont val="Arial"/>
        <scheme val="minor"/>
      </rPr>
      <t xml:space="preserve"> — promotions continued to work effectively.</t>
    </r>
  </si>
  <si>
    <t>Table with All 3 Periods</t>
  </si>
  <si>
    <r>
      <t xml:space="preserve">A modest </t>
    </r>
    <r>
      <rPr>
        <b/>
        <sz val="11"/>
        <color theme="1"/>
        <rFont val="Arial"/>
        <family val="2"/>
        <scheme val="minor"/>
      </rPr>
      <t>3.6% price decrease</t>
    </r>
    <r>
      <rPr>
        <sz val="10"/>
        <color rgb="FF000000"/>
        <rFont val="Arial"/>
        <scheme val="minor"/>
      </rPr>
      <t xml:space="preserve"> caused quantity to more than </t>
    </r>
    <r>
      <rPr>
        <b/>
        <sz val="11"/>
        <color theme="1"/>
        <rFont val="Arial"/>
        <family val="2"/>
        <scheme val="minor"/>
      </rPr>
      <t>double (110.6%)</t>
    </r>
    <r>
      <rPr>
        <sz val="10"/>
        <color rgb="FF000000"/>
        <rFont val="Arial"/>
        <scheme val="minor"/>
      </rPr>
      <t>.</t>
    </r>
  </si>
  <si>
    <t>Revenue increased, promotion worked</t>
  </si>
  <si>
    <t xml:space="preserve"> Revenue increase, promotion worked</t>
  </si>
  <si>
    <t>%ΔQuantity=New Quantity−Old Quantity/Old Quantity​×100</t>
  </si>
  <si>
    <t xml:space="preserve">Calculations </t>
  </si>
  <si>
    <t>Profit</t>
  </si>
  <si>
    <t>Sum of Profit</t>
  </si>
  <si>
    <r>
      <t>Only January and November</t>
    </r>
    <r>
      <rPr>
        <sz val="10"/>
        <color rgb="FF000000"/>
        <rFont val="Arial"/>
        <family val="2"/>
        <scheme val="minor"/>
      </rPr>
      <t xml:space="preserve"> made a positive profit.</t>
    </r>
  </si>
  <si>
    <r>
      <t>Overall, 2014 made a loss of ~R2.27 million (–3%)</t>
    </r>
    <r>
      <rPr>
        <sz val="10"/>
        <color rgb="FF000000"/>
        <rFont val="Arial"/>
        <family val="2"/>
        <scheme val="minor"/>
      </rPr>
      <t>.</t>
    </r>
  </si>
  <si>
    <t>Three periods during which the product was on promotion/special</t>
  </si>
  <si>
    <t>Profit Margin (%)=Profit/ Total Sales×100=524,283.45−12,782.29×100=−2.44%</t>
  </si>
  <si>
    <r>
      <t xml:space="preserve">So, for every Rand earned in sales, the company </t>
    </r>
    <r>
      <rPr>
        <b/>
        <sz val="10"/>
        <color rgb="FF000000"/>
        <rFont val="Arial"/>
        <family val="2"/>
        <scheme val="minor"/>
      </rPr>
      <t>lost about 2.44 cents</t>
    </r>
    <r>
      <rPr>
        <sz val="10"/>
        <color rgb="FF000000"/>
        <rFont val="Arial"/>
        <family val="2"/>
        <scheme val="minor"/>
      </rPr>
      <t>.</t>
    </r>
  </si>
  <si>
    <r>
      <t>Profit is negative</t>
    </r>
    <r>
      <rPr>
        <sz val="10"/>
        <color rgb="FF000000"/>
        <rFont val="Arial"/>
        <family val="2"/>
        <scheme val="minor"/>
      </rPr>
      <t xml:space="preserve">: -R12,782.29. This means the company </t>
    </r>
    <r>
      <rPr>
        <b/>
        <sz val="10"/>
        <color rgb="FF000000"/>
        <rFont val="Arial"/>
        <family val="2"/>
        <scheme val="minor"/>
      </rPr>
      <t>made a loss</t>
    </r>
    <r>
      <rPr>
        <sz val="10"/>
        <color rgb="FF000000"/>
        <rFont val="Arial"/>
        <family val="2"/>
        <scheme val="minor"/>
      </rPr>
      <t xml:space="preserve"> that month</t>
    </r>
  </si>
  <si>
    <r>
      <t>Seasonal trend</t>
    </r>
    <r>
      <rPr>
        <sz val="10"/>
        <color rgb="FF000000"/>
        <rFont val="Arial"/>
        <family val="2"/>
        <scheme val="minor"/>
      </rPr>
      <t>: November seems to be the only month with strong sales or better cost control.</t>
    </r>
  </si>
  <si>
    <r>
      <t xml:space="preserve">Compare </t>
    </r>
    <r>
      <rPr>
        <b/>
        <sz val="10"/>
        <color rgb="FF000000"/>
        <rFont val="Arial"/>
        <family val="2"/>
        <scheme val="minor"/>
      </rPr>
      <t>2014 vs 2015</t>
    </r>
    <r>
      <rPr>
        <sz val="10"/>
        <color rgb="FF000000"/>
        <rFont val="Arial"/>
        <family val="2"/>
        <scheme val="minor"/>
      </rPr>
      <t xml:space="preserve"> to see trends and identify months with worsening performance.</t>
    </r>
  </si>
  <si>
    <r>
      <t xml:space="preserve">2015 was a </t>
    </r>
    <r>
      <rPr>
        <b/>
        <sz val="10"/>
        <color rgb="FF000000"/>
        <rFont val="Arial"/>
        <family val="2"/>
        <scheme val="minor"/>
      </rPr>
      <t>loss-making year across all months</t>
    </r>
    <r>
      <rPr>
        <sz val="10"/>
        <color rgb="FF000000"/>
        <rFont val="Arial"/>
        <family val="2"/>
        <scheme val="minor"/>
      </rPr>
      <t>, worse than 2014.Loss of -R3.9 million</t>
    </r>
  </si>
  <si>
    <r>
      <t xml:space="preserve">Overall, 2016 was </t>
    </r>
    <r>
      <rPr>
        <b/>
        <sz val="10"/>
        <color rgb="FF000000"/>
        <rFont val="Arial"/>
        <family val="2"/>
        <scheme val="minor"/>
      </rPr>
      <t>still a loss-making year</t>
    </r>
    <r>
      <rPr>
        <sz val="10"/>
        <color rgb="FF000000"/>
        <rFont val="Arial"/>
        <family val="2"/>
        <scheme val="minor"/>
      </rPr>
      <t xml:space="preserve">, but the total loss is </t>
    </r>
    <r>
      <rPr>
        <b/>
        <sz val="10"/>
        <color rgb="FF000000"/>
        <rFont val="Arial"/>
        <family val="2"/>
        <scheme val="minor"/>
      </rPr>
      <t>less severe than 2015</t>
    </r>
    <r>
      <rPr>
        <sz val="10"/>
        <color rgb="FF000000"/>
        <rFont val="Arial"/>
        <family val="2"/>
        <scheme val="minor"/>
      </rPr>
      <t>.Loss (-R938,000).</t>
    </r>
  </si>
  <si>
    <r>
      <t xml:space="preserve">January: 4,008,180.49 ÷ 119,965 = </t>
    </r>
    <r>
      <rPr>
        <b/>
        <sz val="10"/>
        <color rgb="FF000000"/>
        <rFont val="Arial"/>
        <family val="2"/>
        <scheme val="minor"/>
      </rPr>
      <t>R33.40</t>
    </r>
  </si>
  <si>
    <r>
      <t>February: 5,780,487.18 ÷ 178,035 ≈=</t>
    </r>
    <r>
      <rPr>
        <b/>
        <sz val="10"/>
        <color rgb="FF000000"/>
        <rFont val="Arial"/>
        <family val="2"/>
        <scheme val="minor"/>
      </rPr>
      <t>R32.48</t>
    </r>
  </si>
  <si>
    <t>%ΔPrice = (32.48 − 33.40) / 33.40 × 100 = −2.74%</t>
  </si>
  <si>
    <t>%ΔQuantity = (178,035 − 119,965) / 119,965 × 100 = 48.4%</t>
  </si>
  <si>
    <t>July Unit Price = 4,933,710.80 ÷ 147,449 = R33.46</t>
  </si>
  <si>
    <r>
      <t xml:space="preserve">August Unit Price = 10,010,378.29 ÷ 310,572 = </t>
    </r>
    <r>
      <rPr>
        <b/>
        <sz val="10"/>
        <color rgb="FF000000"/>
        <rFont val="Arial"/>
        <scheme val="minor"/>
      </rPr>
      <t>R32.25</t>
    </r>
  </si>
  <si>
    <t>%ΔPrice=(32.25−33.46)/33.46​×100=−3.63%</t>
  </si>
  <si>
    <t>%ΔQuantity=310,572−147,449/147,449​×100=110.6%</t>
  </si>
  <si>
    <r>
      <t xml:space="preserve">April Unit Price = 5,963,993.97 ÷ 153,702 = </t>
    </r>
    <r>
      <rPr>
        <b/>
        <sz val="10"/>
        <color rgb="FF000000"/>
        <rFont val="Arial"/>
        <family val="2"/>
        <scheme val="minor"/>
      </rPr>
      <t>R38.80</t>
    </r>
  </si>
  <si>
    <r>
      <t xml:space="preserve">May Unit Price = 8,384,367.24 ÷ 220,775 = </t>
    </r>
    <r>
      <rPr>
        <b/>
        <sz val="10"/>
        <color rgb="FF000000"/>
        <rFont val="Arial"/>
        <family val="2"/>
        <scheme val="minor"/>
      </rPr>
      <t>R37.97</t>
    </r>
  </si>
  <si>
    <t>%ΔQuantity=2220,775−153,702/153,70 ​×100=43.6%</t>
  </si>
  <si>
    <t>Revenue: July = 4,933,710.80 → August = 10,010,378.29  Revenue increased significantly the promotion worked</t>
  </si>
  <si>
    <t>Revenue: April = 5,963,993.97 → May = 8,384,367.24  Revenue increased the promotion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</si>
</sst>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2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  <xf numFmtId="17" fontId="5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" fontId="0" fillId="0" borderId="0" xfId="0" applyNumberFormat="1"/>
    <xf numFmtId="17" fontId="5" fillId="3" borderId="0" xfId="0" applyNumberFormat="1" applyFont="1" applyFill="1" applyAlignment="1">
      <alignment horizontal="left" vertical="center" wrapText="1"/>
    </xf>
    <xf numFmtId="17" fontId="5" fillId="4" borderId="0" xfId="0" applyNumberFormat="1" applyFont="1" applyFill="1" applyAlignment="1">
      <alignment horizontal="left"/>
    </xf>
    <xf numFmtId="17" fontId="2" fillId="5" borderId="0" xfId="0" applyNumberFormat="1" applyFont="1" applyFill="1" applyAlignment="1">
      <alignment horizontal="left" vertical="center"/>
    </xf>
    <xf numFmtId="0" fontId="4" fillId="5" borderId="0" xfId="0" applyFont="1" applyFill="1"/>
    <xf numFmtId="0" fontId="0" fillId="5" borderId="0" xfId="0" applyFill="1"/>
    <xf numFmtId="17" fontId="4" fillId="3" borderId="0" xfId="0" applyNumberFormat="1" applyFont="1" applyFill="1" applyAlignment="1">
      <alignment horizontal="left" vertical="center"/>
    </xf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1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[Sales_Analysis.xlsx]Summary of Sales &amp; Profit!PivotTable1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'Summary of Sales &amp; Profit'!$B$3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'Summary of Sales &amp; Profit'!$A$4:$A$44</c:f>
              <c:multiLvlStrCache>
                <c:ptCount val="36"/>
                <c:lvl>
                  <c:pt idx="0">
                    <c:v>December</c:v>
                  </c:pt>
                  <c:pt idx="1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January</c:v>
                  </c:pt>
                  <c:pt idx="14">
                    <c:v>February</c:v>
                  </c:pt>
                  <c:pt idx="15">
                    <c:v>March</c:v>
                  </c:pt>
                  <c:pt idx="16">
                    <c:v>April</c:v>
                  </c:pt>
                  <c:pt idx="17">
                    <c:v>May</c:v>
                  </c:pt>
                  <c:pt idx="18">
                    <c:v>June</c:v>
                  </c:pt>
                  <c:pt idx="19">
                    <c:v>July</c:v>
                  </c:pt>
                  <c:pt idx="20">
                    <c:v>August</c:v>
                  </c:pt>
                  <c:pt idx="21">
                    <c:v>September</c:v>
                  </c:pt>
                  <c:pt idx="22">
                    <c:v>October</c:v>
                  </c:pt>
                  <c:pt idx="23">
                    <c:v>November</c:v>
                  </c:pt>
                  <c:pt idx="24">
                    <c:v>December</c:v>
                  </c:pt>
                  <c:pt idx="25">
                    <c:v>January</c:v>
                  </c:pt>
                  <c:pt idx="26">
                    <c:v>February</c:v>
                  </c:pt>
                  <c:pt idx="27">
                    <c:v>March</c:v>
                  </c:pt>
                  <c:pt idx="28">
                    <c:v>April</c:v>
                  </c:pt>
                  <c:pt idx="29">
                    <c:v>May</c:v>
                  </c:pt>
                  <c:pt idx="30">
                    <c:v>June</c:v>
                  </c:pt>
                  <c:pt idx="31">
                    <c:v>July</c:v>
                  </c:pt>
                  <c:pt idx="32">
                    <c:v>August</c:v>
                  </c:pt>
                  <c:pt idx="33">
                    <c:v>September</c:v>
                  </c:pt>
                  <c:pt idx="34">
                    <c:v>October</c:v>
                  </c:pt>
                  <c:pt idx="35">
                    <c:v>November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'Summary of Sales &amp; Profit'!$B$4:$B$44</c:f>
              <c:numCache>
                <c:formatCode>General</c:formatCode>
                <c:ptCount val="36"/>
                <c:pt idx="0">
                  <c:v>524283.45250000001</c:v>
                </c:pt>
                <c:pt idx="1">
                  <c:v>4008180.4888699902</c:v>
                </c:pt>
                <c:pt idx="2">
                  <c:v>5780487.1753599998</c:v>
                </c:pt>
                <c:pt idx="3">
                  <c:v>8279517.1759399902</c:v>
                </c:pt>
                <c:pt idx="4">
                  <c:v>6435743.2740099998</c:v>
                </c:pt>
                <c:pt idx="5">
                  <c:v>7694906.1533899996</c:v>
                </c:pt>
                <c:pt idx="6">
                  <c:v>6456943.6466999901</c:v>
                </c:pt>
                <c:pt idx="7">
                  <c:v>4933710.8007300003</c:v>
                </c:pt>
                <c:pt idx="8">
                  <c:v>10010378.287799999</c:v>
                </c:pt>
                <c:pt idx="9">
                  <c:v>7643452.6855800003</c:v>
                </c:pt>
                <c:pt idx="10">
                  <c:v>5924683.3811599901</c:v>
                </c:pt>
                <c:pt idx="11">
                  <c:v>2631353.3430300001</c:v>
                </c:pt>
                <c:pt idx="12">
                  <c:v>5615619.2988600004</c:v>
                </c:pt>
                <c:pt idx="13">
                  <c:v>3696191.5080200001</c:v>
                </c:pt>
                <c:pt idx="14">
                  <c:v>4901504.8930199901</c:v>
                </c:pt>
                <c:pt idx="15">
                  <c:v>5269353.1525299996</c:v>
                </c:pt>
                <c:pt idx="16">
                  <c:v>5963993.9677100005</c:v>
                </c:pt>
                <c:pt idx="17">
                  <c:v>8384367.2411700003</c:v>
                </c:pt>
                <c:pt idx="18">
                  <c:v>5332108.3231999902</c:v>
                </c:pt>
                <c:pt idx="19">
                  <c:v>3677692.3940099999</c:v>
                </c:pt>
                <c:pt idx="20">
                  <c:v>3934668.4082800001</c:v>
                </c:pt>
                <c:pt idx="21">
                  <c:v>4669899.8586899899</c:v>
                </c:pt>
                <c:pt idx="22">
                  <c:v>4828975.0796899898</c:v>
                </c:pt>
                <c:pt idx="23">
                  <c:v>6538148.88344</c:v>
                </c:pt>
                <c:pt idx="24">
                  <c:v>6820689.6777900001</c:v>
                </c:pt>
                <c:pt idx="25">
                  <c:v>5403090.5094699999</c:v>
                </c:pt>
                <c:pt idx="26">
                  <c:v>4891882.30803</c:v>
                </c:pt>
                <c:pt idx="27">
                  <c:v>2951856.0056699999</c:v>
                </c:pt>
                <c:pt idx="28">
                  <c:v>6656880.1760200001</c:v>
                </c:pt>
                <c:pt idx="29">
                  <c:v>5170231.85506</c:v>
                </c:pt>
                <c:pt idx="30">
                  <c:v>6771134.9383199997</c:v>
                </c:pt>
                <c:pt idx="31">
                  <c:v>3324825.4316400001</c:v>
                </c:pt>
                <c:pt idx="32">
                  <c:v>4343329.4138500001</c:v>
                </c:pt>
                <c:pt idx="33">
                  <c:v>3259542.50177</c:v>
                </c:pt>
                <c:pt idx="34">
                  <c:v>2329172.7028399999</c:v>
                </c:pt>
                <c:pt idx="35">
                  <c:v>1851029.8627299999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5-40B0-BC64-5C9FF728A192}"/>
            </c:ext>
          </c:extLst>
        </c:ser>
        <c:ser>
          <c:idx val="1"/>
          <c:order val="1"/>
          <c:tx>
            <c:strRef>
              <c:f>'Summary of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'Summary of Sales &amp; Profit'!$A$4:$A$44</c:f>
              <c:multiLvlStrCache>
                <c:ptCount val="36"/>
                <c:lvl>
                  <c:pt idx="0">
                    <c:v>December</c:v>
                  </c:pt>
                  <c:pt idx="1">
                    <c:v>January</c:v>
                  </c:pt>
                  <c:pt idx="2">
                    <c:v>February</c:v>
                  </c:pt>
                  <c:pt idx="3">
                    <c:v>March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August</c:v>
                  </c:pt>
                  <c:pt idx="9">
                    <c:v>September</c:v>
                  </c:pt>
                  <c:pt idx="10">
                    <c:v>October</c:v>
                  </c:pt>
                  <c:pt idx="11">
                    <c:v>November</c:v>
                  </c:pt>
                  <c:pt idx="12">
                    <c:v>December</c:v>
                  </c:pt>
                  <c:pt idx="13">
                    <c:v>January</c:v>
                  </c:pt>
                  <c:pt idx="14">
                    <c:v>February</c:v>
                  </c:pt>
                  <c:pt idx="15">
                    <c:v>March</c:v>
                  </c:pt>
                  <c:pt idx="16">
                    <c:v>April</c:v>
                  </c:pt>
                  <c:pt idx="17">
                    <c:v>May</c:v>
                  </c:pt>
                  <c:pt idx="18">
                    <c:v>June</c:v>
                  </c:pt>
                  <c:pt idx="19">
                    <c:v>July</c:v>
                  </c:pt>
                  <c:pt idx="20">
                    <c:v>August</c:v>
                  </c:pt>
                  <c:pt idx="21">
                    <c:v>September</c:v>
                  </c:pt>
                  <c:pt idx="22">
                    <c:v>October</c:v>
                  </c:pt>
                  <c:pt idx="23">
                    <c:v>November</c:v>
                  </c:pt>
                  <c:pt idx="24">
                    <c:v>December</c:v>
                  </c:pt>
                  <c:pt idx="25">
                    <c:v>January</c:v>
                  </c:pt>
                  <c:pt idx="26">
                    <c:v>February</c:v>
                  </c:pt>
                  <c:pt idx="27">
                    <c:v>March</c:v>
                  </c:pt>
                  <c:pt idx="28">
                    <c:v>April</c:v>
                  </c:pt>
                  <c:pt idx="29">
                    <c:v>May</c:v>
                  </c:pt>
                  <c:pt idx="30">
                    <c:v>June</c:v>
                  </c:pt>
                  <c:pt idx="31">
                    <c:v>July</c:v>
                  </c:pt>
                  <c:pt idx="32">
                    <c:v>August</c:v>
                  </c:pt>
                  <c:pt idx="33">
                    <c:v>September</c:v>
                  </c:pt>
                  <c:pt idx="34">
                    <c:v>October</c:v>
                  </c:pt>
                  <c:pt idx="35">
                    <c:v>November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'Summary of Sales &amp; Profit'!$C$4:$C$44</c:f>
              <c:numCache>
                <c:formatCode>General</c:formatCode>
                <c:ptCount val="36"/>
                <c:pt idx="0">
                  <c:v>-12782.28899999999</c:v>
                </c:pt>
                <c:pt idx="1">
                  <c:v>12460.645359990187</c:v>
                </c:pt>
                <c:pt idx="2">
                  <c:v>-132991.3854700001</c:v>
                </c:pt>
                <c:pt idx="3">
                  <c:v>-136136.84331000969</c:v>
                </c:pt>
                <c:pt idx="4">
                  <c:v>-43900.351119999774</c:v>
                </c:pt>
                <c:pt idx="5">
                  <c:v>-322334.26377000008</c:v>
                </c:pt>
                <c:pt idx="6">
                  <c:v>-188900.01020000968</c:v>
                </c:pt>
                <c:pt idx="7">
                  <c:v>-71184.101139999926</c:v>
                </c:pt>
                <c:pt idx="8">
                  <c:v>-514054.13684990071</c:v>
                </c:pt>
                <c:pt idx="9">
                  <c:v>-550107.35368999932</c:v>
                </c:pt>
                <c:pt idx="10">
                  <c:v>-113777.93616001029</c:v>
                </c:pt>
                <c:pt idx="11">
                  <c:v>114228.50757999998</c:v>
                </c:pt>
                <c:pt idx="12">
                  <c:v>-319176.76049998961</c:v>
                </c:pt>
                <c:pt idx="13">
                  <c:v>-155068.9585299897</c:v>
                </c:pt>
                <c:pt idx="14">
                  <c:v>-250251.37484000996</c:v>
                </c:pt>
                <c:pt idx="15">
                  <c:v>-330277.56781999022</c:v>
                </c:pt>
                <c:pt idx="16">
                  <c:v>-322679.69672998972</c:v>
                </c:pt>
                <c:pt idx="17">
                  <c:v>-589334.65742000006</c:v>
                </c:pt>
                <c:pt idx="18">
                  <c:v>-188817.04565001</c:v>
                </c:pt>
                <c:pt idx="19">
                  <c:v>-151496.17107998999</c:v>
                </c:pt>
                <c:pt idx="20">
                  <c:v>-276258.92678000033</c:v>
                </c:pt>
                <c:pt idx="21">
                  <c:v>-354594.8363100104</c:v>
                </c:pt>
                <c:pt idx="22">
                  <c:v>-346518.9977400098</c:v>
                </c:pt>
                <c:pt idx="23">
                  <c:v>-600684.57113999035</c:v>
                </c:pt>
                <c:pt idx="24">
                  <c:v>-333627.64260999952</c:v>
                </c:pt>
                <c:pt idx="25">
                  <c:v>-254252.20575999003</c:v>
                </c:pt>
                <c:pt idx="26">
                  <c:v>2578.6644100099802</c:v>
                </c:pt>
                <c:pt idx="27">
                  <c:v>34054.514380000066</c:v>
                </c:pt>
                <c:pt idx="28">
                  <c:v>-470851.72929000016</c:v>
                </c:pt>
                <c:pt idx="29">
                  <c:v>-168162.77690999024</c:v>
                </c:pt>
                <c:pt idx="30">
                  <c:v>-397214.6928999899</c:v>
                </c:pt>
                <c:pt idx="31">
                  <c:v>56428.159130000044</c:v>
                </c:pt>
                <c:pt idx="32">
                  <c:v>-136458.24130999949</c:v>
                </c:pt>
                <c:pt idx="33">
                  <c:v>49345.214300000109</c:v>
                </c:pt>
                <c:pt idx="34">
                  <c:v>219961.64501000009</c:v>
                </c:pt>
                <c:pt idx="35">
                  <c:v>126556.98445999995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5-40B0-BC64-5C9FF728A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695048"/>
        <c:axId val="460695704"/>
      </c:lineChart>
      <c:catAx>
        <c:axId val="46069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95704"/>
        <c:crosses val="autoZero"/>
        <c:auto val="1"/>
        <c:lblAlgn val="ctr"/>
        <c:lblOffset val="100"/>
        <c:noMultiLvlLbl val="0"/>
      </c:catAx>
      <c:valAx>
        <c:axId val="46069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9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[Sales_Analysis.xlsx]Promotion Seasons!PivotTable6</c:name>
    <c:fmtId val="3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'Promotion Seasons'!$B$22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Seasons'!$A$23:$A$35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Seasons'!$B$23:$B$35</c:f>
              <c:numCache>
                <c:formatCode>General</c:formatCode>
                <c:ptCount val="12"/>
                <c:pt idx="0">
                  <c:v>4008180.4888699902</c:v>
                </c:pt>
                <c:pt idx="1">
                  <c:v>5780487.1753599998</c:v>
                </c:pt>
                <c:pt idx="2">
                  <c:v>8279517.1759399902</c:v>
                </c:pt>
                <c:pt idx="3">
                  <c:v>6435743.2740099998</c:v>
                </c:pt>
                <c:pt idx="4">
                  <c:v>7694906.1533899996</c:v>
                </c:pt>
                <c:pt idx="5">
                  <c:v>6456943.6466999901</c:v>
                </c:pt>
                <c:pt idx="6">
                  <c:v>4933710.8007300003</c:v>
                </c:pt>
                <c:pt idx="7">
                  <c:v>10010378.287799999</c:v>
                </c:pt>
                <c:pt idx="8">
                  <c:v>7643452.6855800003</c:v>
                </c:pt>
                <c:pt idx="9">
                  <c:v>5924683.3811599901</c:v>
                </c:pt>
                <c:pt idx="10">
                  <c:v>2631353.3430300001</c:v>
                </c:pt>
                <c:pt idx="11">
                  <c:v>5615619.2988600004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C-4C87-A8F0-17699EC372FF}"/>
            </c:ext>
          </c:extLst>
        </c:ser>
        <c:ser>
          <c:idx val="1"/>
          <c:order val="1"/>
          <c:tx>
            <c:strRef>
              <c:f>'Promotion Seasons'!$C$22</c:f>
              <c:strCache>
                <c:ptCount val="1"/>
                <c:pt idx="0">
                  <c:v>Sum of Total_Cost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Seasons'!$A$23:$A$35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Seasons'!$C$23:$C$35</c:f>
              <c:numCache>
                <c:formatCode>General</c:formatCode>
                <c:ptCount val="12"/>
                <c:pt idx="0">
                  <c:v>3995719.84351</c:v>
                </c:pt>
                <c:pt idx="1">
                  <c:v>5913478.5608299999</c:v>
                </c:pt>
                <c:pt idx="2">
                  <c:v>8415654.0192499999</c:v>
                </c:pt>
                <c:pt idx="3">
                  <c:v>6479643.6251299996</c:v>
                </c:pt>
                <c:pt idx="4">
                  <c:v>8017240.4171599997</c:v>
                </c:pt>
                <c:pt idx="5">
                  <c:v>6645843.6568999998</c:v>
                </c:pt>
                <c:pt idx="6">
                  <c:v>5004894.9018700002</c:v>
                </c:pt>
                <c:pt idx="7">
                  <c:v>10524432.4246499</c:v>
                </c:pt>
                <c:pt idx="8">
                  <c:v>8193560.0392699996</c:v>
                </c:pt>
                <c:pt idx="9">
                  <c:v>6038461.3173200004</c:v>
                </c:pt>
                <c:pt idx="10">
                  <c:v>2517124.8354500001</c:v>
                </c:pt>
                <c:pt idx="11">
                  <c:v>5934796.0593599901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C-4C87-A8F0-17699EC372FF}"/>
            </c:ext>
          </c:extLst>
        </c:ser>
        <c:ser>
          <c:idx val="2"/>
          <c:order val="2"/>
          <c:tx>
            <c:strRef>
              <c:f>'Promotion Seasons'!$D$22</c:f>
              <c:strCache>
                <c:ptCount val="1"/>
                <c:pt idx="0">
                  <c:v>Sum of Total_Quantity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Seasons'!$A$23:$A$35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Seasons'!$D$23:$D$35</c:f>
              <c:numCache>
                <c:formatCode>General</c:formatCode>
                <c:ptCount val="12"/>
                <c:pt idx="0">
                  <c:v>119965</c:v>
                </c:pt>
                <c:pt idx="1">
                  <c:v>178035</c:v>
                </c:pt>
                <c:pt idx="2">
                  <c:v>252836</c:v>
                </c:pt>
                <c:pt idx="3">
                  <c:v>190091</c:v>
                </c:pt>
                <c:pt idx="4">
                  <c:v>235793</c:v>
                </c:pt>
                <c:pt idx="5">
                  <c:v>198857</c:v>
                </c:pt>
                <c:pt idx="6">
                  <c:v>147449</c:v>
                </c:pt>
                <c:pt idx="7">
                  <c:v>310572</c:v>
                </c:pt>
                <c:pt idx="8">
                  <c:v>237742</c:v>
                </c:pt>
                <c:pt idx="9">
                  <c:v>171709</c:v>
                </c:pt>
                <c:pt idx="10">
                  <c:v>68569</c:v>
                </c:pt>
                <c:pt idx="11">
                  <c:v>142612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0C-4C87-A8F0-17699EC3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394504"/>
        <c:axId val="265391552"/>
      </c:lineChart>
      <c:catAx>
        <c:axId val="26539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91552"/>
        <c:crosses val="autoZero"/>
        <c:auto val="1"/>
        <c:lblAlgn val="ctr"/>
        <c:lblOffset val="100"/>
        <c:noMultiLvlLbl val="0"/>
      </c:catAx>
      <c:valAx>
        <c:axId val="2653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9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[Sales_Analysis.xlsx]Promotion Seasons!PivotTable11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'Promotion Seasons'!$B$56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Seasons'!$A$57:$A$69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Seasons'!$B$57:$B$69</c:f>
              <c:numCache>
                <c:formatCode>General</c:formatCode>
                <c:ptCount val="12"/>
                <c:pt idx="0">
                  <c:v>3696191.5080200001</c:v>
                </c:pt>
                <c:pt idx="1">
                  <c:v>4901504.8930199901</c:v>
                </c:pt>
                <c:pt idx="2">
                  <c:v>5269353.1525299996</c:v>
                </c:pt>
                <c:pt idx="3">
                  <c:v>5963993.9677100005</c:v>
                </c:pt>
                <c:pt idx="4">
                  <c:v>8384367.2411700003</c:v>
                </c:pt>
                <c:pt idx="5">
                  <c:v>5332108.3231999902</c:v>
                </c:pt>
                <c:pt idx="6">
                  <c:v>3677692.3940099999</c:v>
                </c:pt>
                <c:pt idx="7">
                  <c:v>3934668.4082800001</c:v>
                </c:pt>
                <c:pt idx="8">
                  <c:v>4669899.8586899899</c:v>
                </c:pt>
                <c:pt idx="9">
                  <c:v>4828975.0796899898</c:v>
                </c:pt>
                <c:pt idx="10">
                  <c:v>6538148.88344</c:v>
                </c:pt>
                <c:pt idx="11">
                  <c:v>6820689.6777900001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6F4-A529-3DF6A4444E57}"/>
            </c:ext>
          </c:extLst>
        </c:ser>
        <c:ser>
          <c:idx val="1"/>
          <c:order val="1"/>
          <c:tx>
            <c:strRef>
              <c:f>'Promotion Seasons'!$C$56</c:f>
              <c:strCache>
                <c:ptCount val="1"/>
                <c:pt idx="0">
                  <c:v>Sum of Total_Cost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Seasons'!$A$57:$A$69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Seasons'!$C$57:$C$69</c:f>
              <c:numCache>
                <c:formatCode>General</c:formatCode>
                <c:ptCount val="12"/>
                <c:pt idx="0">
                  <c:v>3851260.4665499898</c:v>
                </c:pt>
                <c:pt idx="1">
                  <c:v>5151756.26786</c:v>
                </c:pt>
                <c:pt idx="2">
                  <c:v>5599630.7203499898</c:v>
                </c:pt>
                <c:pt idx="3">
                  <c:v>6286673.6644399902</c:v>
                </c:pt>
                <c:pt idx="4">
                  <c:v>8973701.8985900003</c:v>
                </c:pt>
                <c:pt idx="5">
                  <c:v>5520925.3688500002</c:v>
                </c:pt>
                <c:pt idx="6">
                  <c:v>3829188.5650899899</c:v>
                </c:pt>
                <c:pt idx="7">
                  <c:v>4210927.3350600004</c:v>
                </c:pt>
                <c:pt idx="8">
                  <c:v>5024494.6950000003</c:v>
                </c:pt>
                <c:pt idx="9">
                  <c:v>5175494.0774299996</c:v>
                </c:pt>
                <c:pt idx="10">
                  <c:v>7138833.4545799904</c:v>
                </c:pt>
                <c:pt idx="11">
                  <c:v>7154317.3203999996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6F4-A529-3DF6A4444E57}"/>
            </c:ext>
          </c:extLst>
        </c:ser>
        <c:ser>
          <c:idx val="2"/>
          <c:order val="2"/>
          <c:tx>
            <c:strRef>
              <c:f>'Promotion Seasons'!$D$56</c:f>
              <c:strCache>
                <c:ptCount val="1"/>
                <c:pt idx="0">
                  <c:v>Sum of Total_Quantity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'Promotion Seasons'!$A$57:$A$69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'Promotion Seasons'!$D$57:$D$69</c:f>
              <c:numCache>
                <c:formatCode>General</c:formatCode>
                <c:ptCount val="12"/>
                <c:pt idx="0">
                  <c:v>91740</c:v>
                </c:pt>
                <c:pt idx="1">
                  <c:v>127753</c:v>
                </c:pt>
                <c:pt idx="2">
                  <c:v>136673</c:v>
                </c:pt>
                <c:pt idx="3">
                  <c:v>153702</c:v>
                </c:pt>
                <c:pt idx="4">
                  <c:v>220775</c:v>
                </c:pt>
                <c:pt idx="5">
                  <c:v>136581</c:v>
                </c:pt>
                <c:pt idx="6">
                  <c:v>95600</c:v>
                </c:pt>
                <c:pt idx="7">
                  <c:v>108899</c:v>
                </c:pt>
                <c:pt idx="8">
                  <c:v>134837</c:v>
                </c:pt>
                <c:pt idx="9">
                  <c:v>135328</c:v>
                </c:pt>
                <c:pt idx="10">
                  <c:v>185868</c:v>
                </c:pt>
                <c:pt idx="11">
                  <c:v>187333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6F4-A529-3DF6A4444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059600"/>
        <c:axId val="496060256"/>
      </c:lineChart>
      <c:catAx>
        <c:axId val="49605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60256"/>
        <c:crosses val="autoZero"/>
        <c:auto val="1"/>
        <c:lblAlgn val="ctr"/>
        <c:lblOffset val="100"/>
        <c:noMultiLvlLbl val="0"/>
      </c:catAx>
      <c:valAx>
        <c:axId val="4960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5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655320</xdr:colOff>
      <xdr:row>1</xdr:row>
      <xdr:rowOff>140970</xdr:rowOff>
    </xdr:from>
    <xdr:to>
      <xdr:col>9</xdr:col>
      <xdr:colOff>167640</xdr:colOff>
      <xdr:row>18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20</xdr:row>
      <xdr:rowOff>3810</xdr:rowOff>
    </xdr:from>
    <xdr:to>
      <xdr:col>12</xdr:col>
      <xdr:colOff>601980</xdr:colOff>
      <xdr:row>35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388620</xdr:colOff>
      <xdr:row>55</xdr:row>
      <xdr:rowOff>0</xdr:rowOff>
    </xdr:from>
    <xdr:to>
      <xdr:col>12</xdr:col>
      <xdr:colOff>541020</xdr:colOff>
      <xdr:row>72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hle Ndlovu" refreshedDate="45955.675261342592" createdVersion="6" refreshedVersion="6" minRefreshableVersion="3" recordCount="1000">
  <cacheSource type="worksheet">
    <worksheetSource ref="A1:E1048576" sheet="Total Sales"/>
  </cacheSource>
  <cacheFields count="5"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Month" numFmtId="0">
      <sharedItems containsBlank="1" count="13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m/>
      </sharedItems>
    </cacheField>
    <cacheField name="Total_Sales" numFmtId="0">
      <sharedItems containsString="0" containsBlank="1" containsNumber="1" minValue="524283.45250000001" maxValue="10010378.287799999" count="37">
        <n v="524283.45250000001"/>
        <n v="4008180.4888699902"/>
        <n v="5780487.1753599998"/>
        <n v="8279517.1759399902"/>
        <n v="6435743.2740099998"/>
        <n v="7694906.1533899996"/>
        <n v="6456943.6466999901"/>
        <n v="4933710.8007300003"/>
        <n v="10010378.287799999"/>
        <n v="7643452.6855800003"/>
        <n v="5924683.3811599901"/>
        <n v="2631353.3430300001"/>
        <n v="5615619.2988600004"/>
        <n v="3696191.5080200001"/>
        <n v="4901504.8930199901"/>
        <n v="5269353.1525299996"/>
        <n v="5963993.9677100005"/>
        <n v="8384367.2411700003"/>
        <n v="5332108.3231999902"/>
        <n v="3677692.3940099999"/>
        <n v="3934668.4082800001"/>
        <n v="4669899.8586899899"/>
        <n v="4828975.0796899898"/>
        <n v="6538148.88344"/>
        <n v="6820689.6777900001"/>
        <n v="5403090.5094699999"/>
        <n v="4891882.30803"/>
        <n v="2951856.0056699999"/>
        <n v="6656880.1760200001"/>
        <n v="5170231.85506"/>
        <n v="6771134.9383199997"/>
        <n v="3324825.4316400001"/>
        <n v="4343329.4138500001"/>
        <n v="3259542.50177"/>
        <n v="2329172.7028399999"/>
        <n v="1851029.8627299999"/>
        <m/>
      </sharedItems>
    </cacheField>
    <cacheField name="Total_Cost" numFmtId="0">
      <sharedItems containsString="0" containsBlank="1" containsNumber="1" minValue="537065.7415" maxValue="10524432.4246499" count="37">
        <n v="537065.7415"/>
        <n v="3995719.84351"/>
        <n v="5913478.5608299999"/>
        <n v="8415654.0192499999"/>
        <n v="6479643.6251299996"/>
        <n v="8017240.4171599997"/>
        <n v="6645843.6568999998"/>
        <n v="5004894.9018700002"/>
        <n v="10524432.4246499"/>
        <n v="8193560.0392699996"/>
        <n v="6038461.3173200004"/>
        <n v="2517124.8354500001"/>
        <n v="5934796.0593599901"/>
        <n v="3851260.4665499898"/>
        <n v="5151756.26786"/>
        <n v="5599630.7203499898"/>
        <n v="6286673.6644399902"/>
        <n v="8973701.8985900003"/>
        <n v="5520925.3688500002"/>
        <n v="3829188.5650899899"/>
        <n v="4210927.3350600004"/>
        <n v="5024494.6950000003"/>
        <n v="5175494.0774299996"/>
        <n v="7138833.4545799904"/>
        <n v="7154317.3203999996"/>
        <n v="5657342.71522999"/>
        <n v="4889303.64361999"/>
        <n v="2917801.4912899998"/>
        <n v="7127731.9053100003"/>
        <n v="5338394.6319699902"/>
        <n v="7168349.6312199896"/>
        <n v="3268397.27251"/>
        <n v="4479787.6551599996"/>
        <n v="3210197.2874699999"/>
        <n v="2109211.0578299998"/>
        <n v="1724472.87827"/>
        <m/>
      </sharedItems>
    </cacheField>
    <cacheField name="Total_Quantity" numFmtId="0">
      <sharedItems containsString="0" containsBlank="1" containsNumber="1" containsInteger="1" minValue="16095" maxValue="310572" count="37">
        <n v="16095"/>
        <n v="119965"/>
        <n v="178035"/>
        <n v="252836"/>
        <n v="190091"/>
        <n v="235793"/>
        <n v="198857"/>
        <n v="147449"/>
        <n v="310572"/>
        <n v="237742"/>
        <n v="171709"/>
        <n v="68569"/>
        <n v="142612"/>
        <n v="91740"/>
        <n v="127753"/>
        <n v="136673"/>
        <n v="153702"/>
        <n v="220775"/>
        <n v="136581"/>
        <n v="95600"/>
        <n v="108899"/>
        <n v="134837"/>
        <n v="135328"/>
        <n v="185868"/>
        <n v="187333"/>
        <n v="150561"/>
        <n v="132990"/>
        <n v="74185"/>
        <n v="190235"/>
        <n v="146298"/>
        <n v="197469"/>
        <n v="90653"/>
        <n v="123621"/>
        <n v="88672"/>
        <n v="56667"/>
        <n v="4310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hle Ndlovu" refreshedDate="45955.868479745368" createdVersion="6" refreshedVersion="6" minRefreshableVersion="3" recordCount="1000">
  <cacheSource type="worksheet">
    <worksheetSource ref="A1:F1048576" sheet="Total Sales"/>
  </cacheSource>
  <cacheFields count="6"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Month" numFmtId="0">
      <sharedItems containsBlank="1" count="13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m/>
      </sharedItems>
    </cacheField>
    <cacheField name="Total_Sales" numFmtId="0">
      <sharedItems containsString="0" containsBlank="1" containsNumber="1" minValue="524283.45250000001" maxValue="10010378.287799999" count="37">
        <n v="524283.45250000001"/>
        <n v="4008180.4888699902"/>
        <n v="5780487.1753599998"/>
        <n v="8279517.1759399902"/>
        <n v="6435743.2740099998"/>
        <n v="7694906.1533899996"/>
        <n v="6456943.6466999901"/>
        <n v="4933710.8007300003"/>
        <n v="10010378.287799999"/>
        <n v="7643452.6855800003"/>
        <n v="5924683.3811599901"/>
        <n v="2631353.3430300001"/>
        <n v="5615619.2988600004"/>
        <n v="3696191.5080200001"/>
        <n v="4901504.8930199901"/>
        <n v="5269353.1525299996"/>
        <n v="5963993.9677100005"/>
        <n v="8384367.2411700003"/>
        <n v="5332108.3231999902"/>
        <n v="3677692.3940099999"/>
        <n v="3934668.4082800001"/>
        <n v="4669899.8586899899"/>
        <n v="4828975.0796899898"/>
        <n v="6538148.88344"/>
        <n v="6820689.6777900001"/>
        <n v="5403090.5094699999"/>
        <n v="4891882.30803"/>
        <n v="2951856.0056699999"/>
        <n v="6656880.1760200001"/>
        <n v="5170231.85506"/>
        <n v="6771134.9383199997"/>
        <n v="3324825.4316400001"/>
        <n v="4343329.4138500001"/>
        <n v="3259542.50177"/>
        <n v="2329172.7028399999"/>
        <n v="1851029.8627299999"/>
        <m/>
      </sharedItems>
    </cacheField>
    <cacheField name="Total_Cost" numFmtId="0">
      <sharedItems containsString="0" containsBlank="1" containsNumber="1" minValue="537065.7415" maxValue="10524432.4246499" count="37">
        <n v="537065.7415"/>
        <n v="3995719.84351"/>
        <n v="5913478.5608299999"/>
        <n v="8415654.0192499999"/>
        <n v="6479643.6251299996"/>
        <n v="8017240.4171599997"/>
        <n v="6645843.6568999998"/>
        <n v="5004894.9018700002"/>
        <n v="10524432.4246499"/>
        <n v="8193560.0392699996"/>
        <n v="6038461.3173200004"/>
        <n v="2517124.8354500001"/>
        <n v="5934796.0593599901"/>
        <n v="3851260.4665499898"/>
        <n v="5151756.26786"/>
        <n v="5599630.7203499898"/>
        <n v="6286673.6644399902"/>
        <n v="8973701.8985900003"/>
        <n v="5520925.3688500002"/>
        <n v="3829188.5650899899"/>
        <n v="4210927.3350600004"/>
        <n v="5024494.6950000003"/>
        <n v="5175494.0774299996"/>
        <n v="7138833.4545799904"/>
        <n v="7154317.3203999996"/>
        <n v="5657342.71522999"/>
        <n v="4889303.64361999"/>
        <n v="2917801.4912899998"/>
        <n v="7127731.9053100003"/>
        <n v="5338394.6319699902"/>
        <n v="7168349.6312199896"/>
        <n v="3268397.27251"/>
        <n v="4479787.6551599996"/>
        <n v="3210197.2874699999"/>
        <n v="2109211.0578299998"/>
        <n v="1724472.87827"/>
        <m/>
      </sharedItems>
    </cacheField>
    <cacheField name="Total_Quantity" numFmtId="0">
      <sharedItems containsString="0" containsBlank="1" containsNumber="1" containsInteger="1" minValue="16095" maxValue="310572" count="37">
        <n v="16095"/>
        <n v="119965"/>
        <n v="178035"/>
        <n v="252836"/>
        <n v="190091"/>
        <n v="235793"/>
        <n v="198857"/>
        <n v="147449"/>
        <n v="310572"/>
        <n v="237742"/>
        <n v="171709"/>
        <n v="68569"/>
        <n v="142612"/>
        <n v="91740"/>
        <n v="127753"/>
        <n v="136673"/>
        <n v="153702"/>
        <n v="220775"/>
        <n v="136581"/>
        <n v="95600"/>
        <n v="108899"/>
        <n v="134837"/>
        <n v="135328"/>
        <n v="185868"/>
        <n v="187333"/>
        <n v="150561"/>
        <n v="132990"/>
        <n v="74185"/>
        <n v="190235"/>
        <n v="146298"/>
        <n v="197469"/>
        <n v="90653"/>
        <n v="123621"/>
        <n v="88672"/>
        <n v="56667"/>
        <n v="43107"/>
        <m/>
      </sharedItems>
    </cacheField>
    <cacheField name="Profit" numFmtId="0">
      <sharedItems containsString="0" containsBlank="1" containsNumber="1" minValue="-600684.57113999035" maxValue="219961.64501000009" count="37">
        <n v="-12782.28899999999"/>
        <n v="12460.645359990187"/>
        <n v="-132991.3854700001"/>
        <n v="-136136.84331000969"/>
        <n v="-43900.351119999774"/>
        <n v="-322334.26377000008"/>
        <n v="-188900.01020000968"/>
        <n v="-71184.101139999926"/>
        <n v="-514054.13684990071"/>
        <n v="-550107.35368999932"/>
        <n v="-113777.93616001029"/>
        <n v="114228.50757999998"/>
        <n v="-319176.76049998961"/>
        <n v="-155068.9585299897"/>
        <n v="-250251.37484000996"/>
        <n v="-330277.56781999022"/>
        <n v="-322679.69672998972"/>
        <n v="-589334.65742000006"/>
        <n v="-188817.04565001"/>
        <n v="-151496.17107998999"/>
        <n v="-276258.92678000033"/>
        <n v="-354594.8363100104"/>
        <n v="-346518.9977400098"/>
        <n v="-600684.57113999035"/>
        <n v="-333627.64260999952"/>
        <n v="-254252.20575999003"/>
        <n v="2578.6644100099802"/>
        <n v="34054.514380000066"/>
        <n v="-470851.72929000016"/>
        <n v="-168162.77690999024"/>
        <n v="-397214.6928999899"/>
        <n v="56428.159130000044"/>
        <n v="-136458.24130999949"/>
        <n v="49345.214300000109"/>
        <n v="219961.64501000009"/>
        <n v="126556.9844599999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</r>
  <r>
    <x v="1"/>
    <x v="1"/>
    <x v="1"/>
    <x v="1"/>
    <x v="1"/>
  </r>
  <r>
    <x v="1"/>
    <x v="2"/>
    <x v="2"/>
    <x v="2"/>
    <x v="2"/>
  </r>
  <r>
    <x v="1"/>
    <x v="3"/>
    <x v="3"/>
    <x v="3"/>
    <x v="3"/>
  </r>
  <r>
    <x v="1"/>
    <x v="4"/>
    <x v="4"/>
    <x v="4"/>
    <x v="4"/>
  </r>
  <r>
    <x v="1"/>
    <x v="5"/>
    <x v="5"/>
    <x v="5"/>
    <x v="5"/>
  </r>
  <r>
    <x v="1"/>
    <x v="6"/>
    <x v="6"/>
    <x v="6"/>
    <x v="6"/>
  </r>
  <r>
    <x v="1"/>
    <x v="7"/>
    <x v="7"/>
    <x v="7"/>
    <x v="7"/>
  </r>
  <r>
    <x v="1"/>
    <x v="8"/>
    <x v="8"/>
    <x v="8"/>
    <x v="8"/>
  </r>
  <r>
    <x v="1"/>
    <x v="9"/>
    <x v="9"/>
    <x v="9"/>
    <x v="9"/>
  </r>
  <r>
    <x v="1"/>
    <x v="10"/>
    <x v="10"/>
    <x v="10"/>
    <x v="10"/>
  </r>
  <r>
    <x v="1"/>
    <x v="11"/>
    <x v="11"/>
    <x v="11"/>
    <x v="11"/>
  </r>
  <r>
    <x v="1"/>
    <x v="0"/>
    <x v="12"/>
    <x v="12"/>
    <x v="12"/>
  </r>
  <r>
    <x v="2"/>
    <x v="1"/>
    <x v="13"/>
    <x v="13"/>
    <x v="13"/>
  </r>
  <r>
    <x v="2"/>
    <x v="2"/>
    <x v="14"/>
    <x v="14"/>
    <x v="14"/>
  </r>
  <r>
    <x v="2"/>
    <x v="3"/>
    <x v="15"/>
    <x v="15"/>
    <x v="15"/>
  </r>
  <r>
    <x v="2"/>
    <x v="4"/>
    <x v="16"/>
    <x v="16"/>
    <x v="16"/>
  </r>
  <r>
    <x v="2"/>
    <x v="5"/>
    <x v="17"/>
    <x v="17"/>
    <x v="17"/>
  </r>
  <r>
    <x v="2"/>
    <x v="6"/>
    <x v="18"/>
    <x v="18"/>
    <x v="18"/>
  </r>
  <r>
    <x v="2"/>
    <x v="7"/>
    <x v="19"/>
    <x v="19"/>
    <x v="19"/>
  </r>
  <r>
    <x v="2"/>
    <x v="8"/>
    <x v="20"/>
    <x v="20"/>
    <x v="20"/>
  </r>
  <r>
    <x v="2"/>
    <x v="9"/>
    <x v="21"/>
    <x v="21"/>
    <x v="21"/>
  </r>
  <r>
    <x v="2"/>
    <x v="10"/>
    <x v="22"/>
    <x v="22"/>
    <x v="22"/>
  </r>
  <r>
    <x v="2"/>
    <x v="11"/>
    <x v="23"/>
    <x v="23"/>
    <x v="23"/>
  </r>
  <r>
    <x v="2"/>
    <x v="0"/>
    <x v="24"/>
    <x v="24"/>
    <x v="24"/>
  </r>
  <r>
    <x v="3"/>
    <x v="1"/>
    <x v="25"/>
    <x v="25"/>
    <x v="25"/>
  </r>
  <r>
    <x v="3"/>
    <x v="2"/>
    <x v="26"/>
    <x v="26"/>
    <x v="26"/>
  </r>
  <r>
    <x v="3"/>
    <x v="3"/>
    <x v="27"/>
    <x v="27"/>
    <x v="27"/>
  </r>
  <r>
    <x v="3"/>
    <x v="4"/>
    <x v="28"/>
    <x v="28"/>
    <x v="28"/>
  </r>
  <r>
    <x v="3"/>
    <x v="5"/>
    <x v="29"/>
    <x v="29"/>
    <x v="29"/>
  </r>
  <r>
    <x v="3"/>
    <x v="6"/>
    <x v="30"/>
    <x v="30"/>
    <x v="30"/>
  </r>
  <r>
    <x v="3"/>
    <x v="7"/>
    <x v="31"/>
    <x v="31"/>
    <x v="31"/>
  </r>
  <r>
    <x v="3"/>
    <x v="8"/>
    <x v="32"/>
    <x v="32"/>
    <x v="32"/>
  </r>
  <r>
    <x v="3"/>
    <x v="9"/>
    <x v="33"/>
    <x v="33"/>
    <x v="33"/>
  </r>
  <r>
    <x v="3"/>
    <x v="10"/>
    <x v="34"/>
    <x v="34"/>
    <x v="34"/>
  </r>
  <r>
    <x v="3"/>
    <x v="11"/>
    <x v="35"/>
    <x v="35"/>
    <x v="35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  <r>
    <x v="4"/>
    <x v="12"/>
    <x v="36"/>
    <x v="36"/>
    <x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</r>
  <r>
    <x v="1"/>
    <x v="1"/>
    <x v="1"/>
    <x v="1"/>
    <x v="1"/>
    <x v="1"/>
  </r>
  <r>
    <x v="1"/>
    <x v="2"/>
    <x v="2"/>
    <x v="2"/>
    <x v="2"/>
    <x v="2"/>
  </r>
  <r>
    <x v="1"/>
    <x v="3"/>
    <x v="3"/>
    <x v="3"/>
    <x v="3"/>
    <x v="3"/>
  </r>
  <r>
    <x v="1"/>
    <x v="4"/>
    <x v="4"/>
    <x v="4"/>
    <x v="4"/>
    <x v="4"/>
  </r>
  <r>
    <x v="1"/>
    <x v="5"/>
    <x v="5"/>
    <x v="5"/>
    <x v="5"/>
    <x v="5"/>
  </r>
  <r>
    <x v="1"/>
    <x v="6"/>
    <x v="6"/>
    <x v="6"/>
    <x v="6"/>
    <x v="6"/>
  </r>
  <r>
    <x v="1"/>
    <x v="7"/>
    <x v="7"/>
    <x v="7"/>
    <x v="7"/>
    <x v="7"/>
  </r>
  <r>
    <x v="1"/>
    <x v="8"/>
    <x v="8"/>
    <x v="8"/>
    <x v="8"/>
    <x v="8"/>
  </r>
  <r>
    <x v="1"/>
    <x v="9"/>
    <x v="9"/>
    <x v="9"/>
    <x v="9"/>
    <x v="9"/>
  </r>
  <r>
    <x v="1"/>
    <x v="10"/>
    <x v="10"/>
    <x v="10"/>
    <x v="10"/>
    <x v="10"/>
  </r>
  <r>
    <x v="1"/>
    <x v="11"/>
    <x v="11"/>
    <x v="11"/>
    <x v="11"/>
    <x v="11"/>
  </r>
  <r>
    <x v="1"/>
    <x v="0"/>
    <x v="12"/>
    <x v="12"/>
    <x v="12"/>
    <x v="12"/>
  </r>
  <r>
    <x v="2"/>
    <x v="1"/>
    <x v="13"/>
    <x v="13"/>
    <x v="13"/>
    <x v="13"/>
  </r>
  <r>
    <x v="2"/>
    <x v="2"/>
    <x v="14"/>
    <x v="14"/>
    <x v="14"/>
    <x v="14"/>
  </r>
  <r>
    <x v="2"/>
    <x v="3"/>
    <x v="15"/>
    <x v="15"/>
    <x v="15"/>
    <x v="15"/>
  </r>
  <r>
    <x v="2"/>
    <x v="4"/>
    <x v="16"/>
    <x v="16"/>
    <x v="16"/>
    <x v="16"/>
  </r>
  <r>
    <x v="2"/>
    <x v="5"/>
    <x v="17"/>
    <x v="17"/>
    <x v="17"/>
    <x v="17"/>
  </r>
  <r>
    <x v="2"/>
    <x v="6"/>
    <x v="18"/>
    <x v="18"/>
    <x v="18"/>
    <x v="18"/>
  </r>
  <r>
    <x v="2"/>
    <x v="7"/>
    <x v="19"/>
    <x v="19"/>
    <x v="19"/>
    <x v="19"/>
  </r>
  <r>
    <x v="2"/>
    <x v="8"/>
    <x v="20"/>
    <x v="20"/>
    <x v="20"/>
    <x v="20"/>
  </r>
  <r>
    <x v="2"/>
    <x v="9"/>
    <x v="21"/>
    <x v="21"/>
    <x v="21"/>
    <x v="21"/>
  </r>
  <r>
    <x v="2"/>
    <x v="10"/>
    <x v="22"/>
    <x v="22"/>
    <x v="22"/>
    <x v="22"/>
  </r>
  <r>
    <x v="2"/>
    <x v="11"/>
    <x v="23"/>
    <x v="23"/>
    <x v="23"/>
    <x v="23"/>
  </r>
  <r>
    <x v="2"/>
    <x v="0"/>
    <x v="24"/>
    <x v="24"/>
    <x v="24"/>
    <x v="24"/>
  </r>
  <r>
    <x v="3"/>
    <x v="1"/>
    <x v="25"/>
    <x v="25"/>
    <x v="25"/>
    <x v="25"/>
  </r>
  <r>
    <x v="3"/>
    <x v="2"/>
    <x v="26"/>
    <x v="26"/>
    <x v="26"/>
    <x v="26"/>
  </r>
  <r>
    <x v="3"/>
    <x v="3"/>
    <x v="27"/>
    <x v="27"/>
    <x v="27"/>
    <x v="27"/>
  </r>
  <r>
    <x v="3"/>
    <x v="4"/>
    <x v="28"/>
    <x v="28"/>
    <x v="28"/>
    <x v="28"/>
  </r>
  <r>
    <x v="3"/>
    <x v="5"/>
    <x v="29"/>
    <x v="29"/>
    <x v="29"/>
    <x v="29"/>
  </r>
  <r>
    <x v="3"/>
    <x v="6"/>
    <x v="30"/>
    <x v="30"/>
    <x v="30"/>
    <x v="30"/>
  </r>
  <r>
    <x v="3"/>
    <x v="7"/>
    <x v="31"/>
    <x v="31"/>
    <x v="31"/>
    <x v="31"/>
  </r>
  <r>
    <x v="3"/>
    <x v="8"/>
    <x v="32"/>
    <x v="32"/>
    <x v="32"/>
    <x v="32"/>
  </r>
  <r>
    <x v="3"/>
    <x v="9"/>
    <x v="33"/>
    <x v="33"/>
    <x v="33"/>
    <x v="33"/>
  </r>
  <r>
    <x v="3"/>
    <x v="10"/>
    <x v="34"/>
    <x v="34"/>
    <x v="34"/>
    <x v="34"/>
  </r>
  <r>
    <x v="3"/>
    <x v="11"/>
    <x v="35"/>
    <x v="35"/>
    <x v="35"/>
    <x v="35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  <r>
    <x v="4"/>
    <x v="12"/>
    <x v="36"/>
    <x v="36"/>
    <x v="36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C44" firstHeaderRow="0" firstDataRow="1" firstDataCol="1"/>
  <pivotFields count="6">
    <pivotField axis="axisRow"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showAll="0"/>
    <pivotField dataField="1" showAll="0">
      <items count="38">
        <item x="23"/>
        <item x="17"/>
        <item x="9"/>
        <item x="8"/>
        <item x="28"/>
        <item x="30"/>
        <item x="21"/>
        <item x="22"/>
        <item x="24"/>
        <item x="15"/>
        <item x="16"/>
        <item x="5"/>
        <item x="12"/>
        <item x="20"/>
        <item x="25"/>
        <item x="14"/>
        <item x="6"/>
        <item x="18"/>
        <item x="29"/>
        <item x="13"/>
        <item x="19"/>
        <item x="32"/>
        <item x="3"/>
        <item x="2"/>
        <item x="10"/>
        <item x="7"/>
        <item x="4"/>
        <item x="0"/>
        <item x="26"/>
        <item x="1"/>
        <item x="27"/>
        <item x="33"/>
        <item x="31"/>
        <item x="11"/>
        <item x="35"/>
        <item x="34"/>
        <item x="36"/>
        <item t="default"/>
      </items>
    </pivotField>
  </pivotFields>
  <rowFields count="2">
    <field x="0"/>
    <field x="1"/>
  </rowFields>
  <rowItems count="41">
    <i>
      <x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2" baseField="0" baseItem="0"/>
    <dataField name="Sum of Profit" fld="5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2:E25" firstHeaderRow="0" firstDataRow="1" firstDataCol="1" rowPageCount="1" colPageCount="1"/>
  <pivotFields count="6"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  <pivotField dataField="1" showAll="0">
      <items count="38">
        <item x="23"/>
        <item x="17"/>
        <item x="9"/>
        <item x="8"/>
        <item x="28"/>
        <item x="30"/>
        <item x="21"/>
        <item x="22"/>
        <item x="24"/>
        <item x="15"/>
        <item x="16"/>
        <item x="5"/>
        <item x="12"/>
        <item x="20"/>
        <item x="25"/>
        <item x="14"/>
        <item x="6"/>
        <item x="18"/>
        <item x="29"/>
        <item x="13"/>
        <item x="19"/>
        <item x="32"/>
        <item x="3"/>
        <item x="2"/>
        <item x="10"/>
        <item x="7"/>
        <item x="4"/>
        <item x="0"/>
        <item x="26"/>
        <item x="1"/>
        <item x="27"/>
        <item x="33"/>
        <item x="31"/>
        <item x="11"/>
        <item x="35"/>
        <item x="34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Total_Quantity" fld="4" baseField="1" baseItem="0"/>
    <dataField name="Sum of Total_Cost" fld="3" baseField="1" baseItem="0"/>
    <dataField name="Sum of Total_Sales" fld="2" baseField="1" baseItem="0"/>
    <dataField name="Sum of Profit" fld="5" baseField="1" baseItem="11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5" firstHeaderRow="0" firstDataRow="1" firstDataCol="1" rowPageCount="1" colPageCount="1"/>
  <pivotFields count="6"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  <pivotField dataField="1" showAll="0">
      <items count="38">
        <item x="23"/>
        <item x="17"/>
        <item x="9"/>
        <item x="8"/>
        <item x="28"/>
        <item x="30"/>
        <item x="21"/>
        <item x="22"/>
        <item x="24"/>
        <item x="15"/>
        <item x="16"/>
        <item x="5"/>
        <item x="12"/>
        <item x="20"/>
        <item x="25"/>
        <item x="14"/>
        <item x="6"/>
        <item x="18"/>
        <item x="29"/>
        <item x="13"/>
        <item x="19"/>
        <item x="32"/>
        <item x="3"/>
        <item x="2"/>
        <item x="10"/>
        <item x="7"/>
        <item x="4"/>
        <item x="0"/>
        <item x="26"/>
        <item x="1"/>
        <item x="27"/>
        <item x="33"/>
        <item x="31"/>
        <item x="11"/>
        <item x="35"/>
        <item x="34"/>
        <item x="36"/>
        <item t="default"/>
      </items>
    </pivotField>
  </pivotFields>
  <rowFields count="1">
    <field x="1"/>
  </rowFields>
  <rowItems count="2"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Total_Quantity" fld="4" baseField="1" baseItem="0"/>
    <dataField name="Sum of Total_Cost" fld="3" baseField="1" baseItem="0"/>
    <dataField name="Sum of Total_Sales" fld="2" baseField="1" baseItem="0"/>
    <dataField name="Sum of Profit" fld="5" baseField="1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1:E63" firstHeaderRow="0" firstDataRow="1" firstDataCol="1" rowPageCount="1" colPageCount="1"/>
  <pivotFields count="6"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  <pivotField dataField="1" showAll="0">
      <items count="38">
        <item x="23"/>
        <item x="17"/>
        <item x="9"/>
        <item x="8"/>
        <item x="28"/>
        <item x="30"/>
        <item x="21"/>
        <item x="22"/>
        <item x="24"/>
        <item x="15"/>
        <item x="16"/>
        <item x="5"/>
        <item x="12"/>
        <item x="20"/>
        <item x="25"/>
        <item x="14"/>
        <item x="6"/>
        <item x="18"/>
        <item x="29"/>
        <item x="13"/>
        <item x="19"/>
        <item x="32"/>
        <item x="3"/>
        <item x="2"/>
        <item x="10"/>
        <item x="7"/>
        <item x="4"/>
        <item x="0"/>
        <item x="26"/>
        <item x="1"/>
        <item x="27"/>
        <item x="33"/>
        <item x="31"/>
        <item x="11"/>
        <item x="35"/>
        <item x="34"/>
        <item x="36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Total_Quantity" fld="4" baseField="1" baseItem="0"/>
    <dataField name="Sum of Total_Cost" fld="3" baseField="1" baseItem="0"/>
    <dataField name="Sum of Total_Sales" fld="2" baseField="1" baseItem="0"/>
    <dataField name="Sum of Profit" fld="5" baseField="1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E45" firstHeaderRow="0" firstDataRow="1" firstDataCol="1" rowPageCount="1" colPageCount="1"/>
  <pivotFields count="6"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  <pivotField dataField="1" showAll="0">
      <items count="38">
        <item x="23"/>
        <item x="17"/>
        <item x="9"/>
        <item x="8"/>
        <item x="28"/>
        <item x="30"/>
        <item x="21"/>
        <item x="22"/>
        <item x="24"/>
        <item x="15"/>
        <item x="16"/>
        <item x="5"/>
        <item x="12"/>
        <item x="20"/>
        <item x="25"/>
        <item x="14"/>
        <item x="6"/>
        <item x="18"/>
        <item x="29"/>
        <item x="13"/>
        <item x="19"/>
        <item x="32"/>
        <item x="3"/>
        <item x="2"/>
        <item x="10"/>
        <item x="7"/>
        <item x="4"/>
        <item x="0"/>
        <item x="26"/>
        <item x="1"/>
        <item x="27"/>
        <item x="33"/>
        <item x="31"/>
        <item x="11"/>
        <item x="35"/>
        <item x="34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Total_Quantity" fld="4" baseField="1" baseItem="0"/>
    <dataField name="Sum of Total_Cost" fld="3" baseField="1" baseItem="0"/>
    <dataField name="Sum of Total_Sales" fld="2" baseField="1" baseItem="0"/>
    <dataField name="Sum of Profit" fld="5" baseField="1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56:D69" firstHeaderRow="0" firstDataRow="1" firstDataCol="1" rowPageCount="1" colPageCount="1"/>
  <pivotFields count="5"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/>
    <dataField name="Sum of Total_Cost" fld="3" baseField="1" baseItem="11"/>
    <dataField name="Sum of Total_Quantity" fld="4" baseField="1" baseItem="11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A22:D35" firstHeaderRow="0" firstDataRow="1" firstDataCol="1" rowPageCount="1" colPageCount="1"/>
  <pivotFields count="5"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/>
    <dataField name="Sum of Total_Cost" fld="3" baseField="1" baseItem="11"/>
    <dataField name="Sum of Total_Quantity" fld="4" baseField="1" baseItem="11"/>
  </dataFields>
  <chartFormats count="3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D26" firstHeaderRow="0" firstDataRow="1" firstDataCol="1" rowPageCount="1" colPageCount="1"/>
  <pivotFields count="5"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/>
    <dataField name="Sum of Total_Cost" fld="3" baseField="1" baseItem="11" numFmtId="164"/>
    <dataField name="Sum of Total_Quantity" fld="4" baseField="1" baseItem="11"/>
  </dataFields>
  <formats count="9">
    <format dxfId="8">
      <pivotArea collapsedLevelsAreSubtotals="1" fieldPosition="0">
        <references count="1">
          <reference field="1" count="1">
            <x v="1"/>
          </reference>
        </references>
      </pivotArea>
    </format>
    <format dxfId="7">
      <pivotArea dataOnly="0" labelOnly="1" fieldPosition="0">
        <references count="1">
          <reference field="1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D7" firstHeaderRow="0" firstDataRow="1" firstDataCol="1" rowPageCount="1" colPageCount="1"/>
  <pivotFields count="5"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2"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 numFmtId="164"/>
    <dataField name="Sum of Total_Cost" fld="3" baseField="1" baseItem="11" numFmtId="164"/>
    <dataField name="Sum of Total_Quantity" fld="4" baseField="1" baseItem="11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9:D61" firstHeaderRow="0" firstDataRow="1" firstDataCol="1" rowPageCount="1" colPageCount="1"/>
  <pivotFields count="5"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 numFmtId="164"/>
    <dataField name="Sum of Total_Cost" fld="3" baseField="1" baseItem="11" numFmtId="164"/>
    <dataField name="Sum of Total_Quantity" fld="4" baseField="1" baseItem="11"/>
  </dataFields>
  <formats count="3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1:D44" firstHeaderRow="0" firstDataRow="1" firstDataCol="1" rowPageCount="1" colPageCount="1"/>
  <pivotFields count="5"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20"/>
        <item x="1"/>
        <item x="32"/>
        <item x="21"/>
        <item x="22"/>
        <item x="26"/>
        <item x="14"/>
        <item x="7"/>
        <item x="29"/>
        <item x="15"/>
        <item x="18"/>
        <item x="25"/>
        <item x="12"/>
        <item x="2"/>
        <item x="10"/>
        <item x="16"/>
        <item x="4"/>
        <item x="6"/>
        <item x="23"/>
        <item x="28"/>
        <item x="30"/>
        <item x="24"/>
        <item x="9"/>
        <item x="5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9"/>
        <item x="13"/>
        <item x="1"/>
        <item x="20"/>
        <item x="32"/>
        <item x="26"/>
        <item x="7"/>
        <item x="21"/>
        <item x="14"/>
        <item x="22"/>
        <item x="29"/>
        <item x="18"/>
        <item x="15"/>
        <item x="25"/>
        <item x="2"/>
        <item x="12"/>
        <item x="10"/>
        <item x="16"/>
        <item x="4"/>
        <item x="6"/>
        <item x="28"/>
        <item x="23"/>
        <item x="24"/>
        <item x="30"/>
        <item x="5"/>
        <item x="9"/>
        <item x="3"/>
        <item x="17"/>
        <item x="8"/>
        <item x="36"/>
        <item t="default"/>
      </items>
    </pivotField>
    <pivotField dataField="1" showAll="0">
      <items count="38">
        <item x="0"/>
        <item x="35"/>
        <item x="34"/>
        <item x="11"/>
        <item x="27"/>
        <item x="33"/>
        <item x="31"/>
        <item x="13"/>
        <item x="19"/>
        <item x="20"/>
        <item x="1"/>
        <item x="32"/>
        <item x="14"/>
        <item x="26"/>
        <item x="21"/>
        <item x="22"/>
        <item x="18"/>
        <item x="15"/>
        <item x="12"/>
        <item x="29"/>
        <item x="7"/>
        <item x="25"/>
        <item x="16"/>
        <item x="10"/>
        <item x="2"/>
        <item x="23"/>
        <item x="24"/>
        <item x="4"/>
        <item x="28"/>
        <item x="30"/>
        <item x="6"/>
        <item x="17"/>
        <item x="5"/>
        <item x="9"/>
        <item x="3"/>
        <item x="8"/>
        <item x="36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Total_Sales" fld="2" baseField="1" baseItem="11" numFmtId="164"/>
    <dataField name="Sum of Total_Cost" fld="3" baseField="1" baseItem="11" numFmtId="164"/>
    <dataField name="Sum of Total_Quantity" fld="4" baseField="1" baseItem="11"/>
  </dataFields>
  <formats count="2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3:C44"/>
  <sheetViews>
    <sheetView workbookViewId="0">
      <selection activeCell="K28" sqref="K28"/>
    </sheetView>
  </sheetViews>
  <sheetFormatPr defaultRowHeight="13.2" x14ac:dyDescent="0.25"/>
  <cols>
    <col min="1" max="1" width="13.88671875" customWidth="1"/>
    <col min="2" max="2" width="17.88671875" customWidth="1"/>
    <col min="3" max="3" width="12.6640625" customWidth="1"/>
    <col min="4" max="4" width="17.88671875" customWidth="1"/>
    <col min="5" max="5" width="12.6640625" customWidth="1"/>
    <col min="6" max="6" width="17.88671875" customWidth="1"/>
    <col min="7" max="7" width="12.6640625" customWidth="1"/>
    <col min="8" max="8" width="17.88671875" customWidth="1"/>
    <col min="9" max="9" width="12.6640625" customWidth="1"/>
    <col min="10" max="10" width="17.88671875" customWidth="1"/>
    <col min="11" max="11" width="12.6640625" customWidth="1"/>
    <col min="12" max="12" width="17.88671875" customWidth="1"/>
    <col min="13" max="13" width="12.6640625" customWidth="1"/>
    <col min="14" max="14" width="17.88671875" customWidth="1"/>
    <col min="15" max="15" width="12.6640625" customWidth="1"/>
    <col min="16" max="16" width="17.88671875" customWidth="1"/>
    <col min="17" max="17" width="12.6640625" customWidth="1"/>
    <col min="18" max="18" width="17.88671875" customWidth="1"/>
    <col min="19" max="19" width="12.6640625" customWidth="1"/>
    <col min="20" max="20" width="17.88671875" customWidth="1"/>
    <col min="21" max="21" width="12.6640625" customWidth="1"/>
    <col min="22" max="22" width="17.88671875" customWidth="1"/>
    <col min="23" max="23" width="12.6640625" customWidth="1"/>
    <col min="24" max="24" width="17.88671875" customWidth="1"/>
    <col min="25" max="25" width="12.6640625" customWidth="1"/>
    <col min="26" max="26" width="22.88671875" bestFit="1" customWidth="1"/>
    <col min="27" max="27" width="17.5546875" customWidth="1"/>
    <col min="28" max="29" width="12.6640625" bestFit="1" customWidth="1"/>
    <col min="30" max="34" width="12" customWidth="1"/>
    <col min="35" max="35" width="12.6640625" bestFit="1" customWidth="1"/>
    <col min="36" max="36" width="12" customWidth="1"/>
    <col min="37" max="37" width="12.6640625" bestFit="1" customWidth="1"/>
    <col min="38" max="38" width="12.6640625" customWidth="1"/>
    <col min="39" max="42" width="12.6640625" bestFit="1" customWidth="1"/>
  </cols>
  <sheetData>
    <row r="3" spans="1:3" x14ac:dyDescent="0.25">
      <c r="A3" s="3" t="s">
        <v>17</v>
      </c>
      <c r="B3" t="s">
        <v>19</v>
      </c>
      <c r="C3" t="s">
        <v>82</v>
      </c>
    </row>
    <row r="4" spans="1:3" x14ac:dyDescent="0.25">
      <c r="A4" s="4">
        <v>2013</v>
      </c>
      <c r="B4">
        <v>524283.45250000001</v>
      </c>
      <c r="C4">
        <v>-12782.28899999999</v>
      </c>
    </row>
    <row r="5" spans="1:3" x14ac:dyDescent="0.25">
      <c r="A5" s="32" t="s">
        <v>5</v>
      </c>
      <c r="B5">
        <v>524283.45250000001</v>
      </c>
      <c r="C5">
        <v>-12782.28899999999</v>
      </c>
    </row>
    <row r="6" spans="1:3" x14ac:dyDescent="0.25">
      <c r="A6" s="4">
        <v>2014</v>
      </c>
      <c r="B6">
        <v>75414975.711429954</v>
      </c>
      <c r="C6">
        <v>-2265873.989269929</v>
      </c>
    </row>
    <row r="7" spans="1:3" x14ac:dyDescent="0.25">
      <c r="A7" s="32" t="s">
        <v>6</v>
      </c>
      <c r="B7">
        <v>4008180.4888699902</v>
      </c>
      <c r="C7">
        <v>12460.645359990187</v>
      </c>
    </row>
    <row r="8" spans="1:3" x14ac:dyDescent="0.25">
      <c r="A8" s="32" t="s">
        <v>7</v>
      </c>
      <c r="B8">
        <v>5780487.1753599998</v>
      </c>
      <c r="C8">
        <v>-132991.3854700001</v>
      </c>
    </row>
    <row r="9" spans="1:3" x14ac:dyDescent="0.25">
      <c r="A9" s="32" t="s">
        <v>8</v>
      </c>
      <c r="B9">
        <v>8279517.1759399902</v>
      </c>
      <c r="C9">
        <v>-136136.84331000969</v>
      </c>
    </row>
    <row r="10" spans="1:3" x14ac:dyDescent="0.25">
      <c r="A10" s="32" t="s">
        <v>9</v>
      </c>
      <c r="B10">
        <v>6435743.2740099998</v>
      </c>
      <c r="C10">
        <v>-43900.351119999774</v>
      </c>
    </row>
    <row r="11" spans="1:3" x14ac:dyDescent="0.25">
      <c r="A11" s="32" t="s">
        <v>10</v>
      </c>
      <c r="B11">
        <v>7694906.1533899996</v>
      </c>
      <c r="C11">
        <v>-322334.26377000008</v>
      </c>
    </row>
    <row r="12" spans="1:3" x14ac:dyDescent="0.25">
      <c r="A12" s="32" t="s">
        <v>11</v>
      </c>
      <c r="B12">
        <v>6456943.6466999901</v>
      </c>
      <c r="C12">
        <v>-188900.01020000968</v>
      </c>
    </row>
    <row r="13" spans="1:3" x14ac:dyDescent="0.25">
      <c r="A13" s="32" t="s">
        <v>12</v>
      </c>
      <c r="B13">
        <v>4933710.8007300003</v>
      </c>
      <c r="C13">
        <v>-71184.101139999926</v>
      </c>
    </row>
    <row r="14" spans="1:3" x14ac:dyDescent="0.25">
      <c r="A14" s="32" t="s">
        <v>13</v>
      </c>
      <c r="B14">
        <v>10010378.287799999</v>
      </c>
      <c r="C14">
        <v>-514054.13684990071</v>
      </c>
    </row>
    <row r="15" spans="1:3" x14ac:dyDescent="0.25">
      <c r="A15" s="32" t="s">
        <v>14</v>
      </c>
      <c r="B15">
        <v>7643452.6855800003</v>
      </c>
      <c r="C15">
        <v>-550107.35368999932</v>
      </c>
    </row>
    <row r="16" spans="1:3" x14ac:dyDescent="0.25">
      <c r="A16" s="32" t="s">
        <v>15</v>
      </c>
      <c r="B16">
        <v>5924683.3811599901</v>
      </c>
      <c r="C16">
        <v>-113777.93616001029</v>
      </c>
    </row>
    <row r="17" spans="1:3" x14ac:dyDescent="0.25">
      <c r="A17" s="32" t="s">
        <v>16</v>
      </c>
      <c r="B17">
        <v>2631353.3430300001</v>
      </c>
      <c r="C17">
        <v>114228.50757999998</v>
      </c>
    </row>
    <row r="18" spans="1:3" x14ac:dyDescent="0.25">
      <c r="A18" s="32" t="s">
        <v>5</v>
      </c>
      <c r="B18">
        <v>5615619.2988600004</v>
      </c>
      <c r="C18">
        <v>-319176.76049998961</v>
      </c>
    </row>
    <row r="19" spans="1:3" x14ac:dyDescent="0.25">
      <c r="A19" s="4">
        <v>2015</v>
      </c>
      <c r="B19">
        <v>64017593.387549959</v>
      </c>
      <c r="C19">
        <v>-3899610.44664999</v>
      </c>
    </row>
    <row r="20" spans="1:3" x14ac:dyDescent="0.25">
      <c r="A20" s="32" t="s">
        <v>6</v>
      </c>
      <c r="B20">
        <v>3696191.5080200001</v>
      </c>
      <c r="C20">
        <v>-155068.9585299897</v>
      </c>
    </row>
    <row r="21" spans="1:3" x14ac:dyDescent="0.25">
      <c r="A21" s="32" t="s">
        <v>7</v>
      </c>
      <c r="B21">
        <v>4901504.8930199901</v>
      </c>
      <c r="C21">
        <v>-250251.37484000996</v>
      </c>
    </row>
    <row r="22" spans="1:3" x14ac:dyDescent="0.25">
      <c r="A22" s="32" t="s">
        <v>8</v>
      </c>
      <c r="B22">
        <v>5269353.1525299996</v>
      </c>
      <c r="C22">
        <v>-330277.56781999022</v>
      </c>
    </row>
    <row r="23" spans="1:3" x14ac:dyDescent="0.25">
      <c r="A23" s="32" t="s">
        <v>9</v>
      </c>
      <c r="B23">
        <v>5963993.9677100005</v>
      </c>
      <c r="C23">
        <v>-322679.69672998972</v>
      </c>
    </row>
    <row r="24" spans="1:3" x14ac:dyDescent="0.25">
      <c r="A24" s="32" t="s">
        <v>10</v>
      </c>
      <c r="B24">
        <v>8384367.2411700003</v>
      </c>
      <c r="C24">
        <v>-589334.65742000006</v>
      </c>
    </row>
    <row r="25" spans="1:3" x14ac:dyDescent="0.25">
      <c r="A25" s="32" t="s">
        <v>11</v>
      </c>
      <c r="B25">
        <v>5332108.3231999902</v>
      </c>
      <c r="C25">
        <v>-188817.04565001</v>
      </c>
    </row>
    <row r="26" spans="1:3" x14ac:dyDescent="0.25">
      <c r="A26" s="32" t="s">
        <v>12</v>
      </c>
      <c r="B26">
        <v>3677692.3940099999</v>
      </c>
      <c r="C26">
        <v>-151496.17107998999</v>
      </c>
    </row>
    <row r="27" spans="1:3" x14ac:dyDescent="0.25">
      <c r="A27" s="32" t="s">
        <v>13</v>
      </c>
      <c r="B27">
        <v>3934668.4082800001</v>
      </c>
      <c r="C27">
        <v>-276258.92678000033</v>
      </c>
    </row>
    <row r="28" spans="1:3" x14ac:dyDescent="0.25">
      <c r="A28" s="32" t="s">
        <v>14</v>
      </c>
      <c r="B28">
        <v>4669899.8586899899</v>
      </c>
      <c r="C28">
        <v>-354594.8363100104</v>
      </c>
    </row>
    <row r="29" spans="1:3" x14ac:dyDescent="0.25">
      <c r="A29" s="32" t="s">
        <v>15</v>
      </c>
      <c r="B29">
        <v>4828975.0796899898</v>
      </c>
      <c r="C29">
        <v>-346518.9977400098</v>
      </c>
    </row>
    <row r="30" spans="1:3" x14ac:dyDescent="0.25">
      <c r="A30" s="32" t="s">
        <v>16</v>
      </c>
      <c r="B30">
        <v>6538148.88344</v>
      </c>
      <c r="C30">
        <v>-600684.57113999035</v>
      </c>
    </row>
    <row r="31" spans="1:3" x14ac:dyDescent="0.25">
      <c r="A31" s="32" t="s">
        <v>5</v>
      </c>
      <c r="B31">
        <v>6820689.6777900001</v>
      </c>
      <c r="C31">
        <v>-333627.64260999952</v>
      </c>
    </row>
    <row r="32" spans="1:3" x14ac:dyDescent="0.25">
      <c r="A32" s="4">
        <v>2016</v>
      </c>
      <c r="B32">
        <v>46952975.705399998</v>
      </c>
      <c r="C32">
        <v>-938014.46447995957</v>
      </c>
    </row>
    <row r="33" spans="1:3" x14ac:dyDescent="0.25">
      <c r="A33" s="32" t="s">
        <v>6</v>
      </c>
      <c r="B33">
        <v>5403090.5094699999</v>
      </c>
      <c r="C33">
        <v>-254252.20575999003</v>
      </c>
    </row>
    <row r="34" spans="1:3" x14ac:dyDescent="0.25">
      <c r="A34" s="32" t="s">
        <v>7</v>
      </c>
      <c r="B34">
        <v>4891882.30803</v>
      </c>
      <c r="C34">
        <v>2578.6644100099802</v>
      </c>
    </row>
    <row r="35" spans="1:3" x14ac:dyDescent="0.25">
      <c r="A35" s="32" t="s">
        <v>8</v>
      </c>
      <c r="B35">
        <v>2951856.0056699999</v>
      </c>
      <c r="C35">
        <v>34054.514380000066</v>
      </c>
    </row>
    <row r="36" spans="1:3" x14ac:dyDescent="0.25">
      <c r="A36" s="32" t="s">
        <v>9</v>
      </c>
      <c r="B36">
        <v>6656880.1760200001</v>
      </c>
      <c r="C36">
        <v>-470851.72929000016</v>
      </c>
    </row>
    <row r="37" spans="1:3" x14ac:dyDescent="0.25">
      <c r="A37" s="32" t="s">
        <v>10</v>
      </c>
      <c r="B37">
        <v>5170231.85506</v>
      </c>
      <c r="C37">
        <v>-168162.77690999024</v>
      </c>
    </row>
    <row r="38" spans="1:3" x14ac:dyDescent="0.25">
      <c r="A38" s="32" t="s">
        <v>11</v>
      </c>
      <c r="B38">
        <v>6771134.9383199997</v>
      </c>
      <c r="C38">
        <v>-397214.6928999899</v>
      </c>
    </row>
    <row r="39" spans="1:3" x14ac:dyDescent="0.25">
      <c r="A39" s="32" t="s">
        <v>12</v>
      </c>
      <c r="B39">
        <v>3324825.4316400001</v>
      </c>
      <c r="C39">
        <v>56428.159130000044</v>
      </c>
    </row>
    <row r="40" spans="1:3" x14ac:dyDescent="0.25">
      <c r="A40" s="32" t="s">
        <v>13</v>
      </c>
      <c r="B40">
        <v>4343329.4138500001</v>
      </c>
      <c r="C40">
        <v>-136458.24130999949</v>
      </c>
    </row>
    <row r="41" spans="1:3" x14ac:dyDescent="0.25">
      <c r="A41" s="32" t="s">
        <v>14</v>
      </c>
      <c r="B41">
        <v>3259542.50177</v>
      </c>
      <c r="C41">
        <v>49345.214300000109</v>
      </c>
    </row>
    <row r="42" spans="1:3" x14ac:dyDescent="0.25">
      <c r="A42" s="32" t="s">
        <v>15</v>
      </c>
      <c r="B42">
        <v>2329172.7028399999</v>
      </c>
      <c r="C42">
        <v>219961.64501000009</v>
      </c>
    </row>
    <row r="43" spans="1:3" x14ac:dyDescent="0.25">
      <c r="A43" s="32" t="s">
        <v>16</v>
      </c>
      <c r="B43">
        <v>1851029.8627299999</v>
      </c>
      <c r="C43">
        <v>126556.98445999995</v>
      </c>
    </row>
    <row r="44" spans="1:3" x14ac:dyDescent="0.25">
      <c r="A44" s="4" t="s">
        <v>18</v>
      </c>
      <c r="B44">
        <v>186909828.25687996</v>
      </c>
      <c r="C44">
        <v>-7116281.1893998794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H63"/>
  <sheetViews>
    <sheetView workbookViewId="0">
      <selection activeCell="H39" sqref="H39"/>
    </sheetView>
  </sheetViews>
  <sheetFormatPr defaultRowHeight="13.2" x14ac:dyDescent="0.25"/>
  <cols>
    <col min="1" max="1" width="13.33203125" customWidth="1"/>
    <col min="2" max="2" width="20.6640625" customWidth="1"/>
    <col min="3" max="3" width="17.33203125" customWidth="1"/>
    <col min="4" max="4" width="17.88671875" customWidth="1"/>
    <col min="5" max="5" width="12.6640625" customWidth="1"/>
  </cols>
  <sheetData>
    <row r="1" spans="1:8" x14ac:dyDescent="0.25">
      <c r="A1" s="3" t="s">
        <v>0</v>
      </c>
      <c r="B1" s="4">
        <v>2013</v>
      </c>
    </row>
    <row r="2" spans="1:8" x14ac:dyDescent="0.25">
      <c r="H2" s="6" t="s">
        <v>86</v>
      </c>
    </row>
    <row r="3" spans="1:8" x14ac:dyDescent="0.25">
      <c r="A3" s="3" t="s">
        <v>17</v>
      </c>
      <c r="B3" t="s">
        <v>21</v>
      </c>
      <c r="C3" t="s">
        <v>20</v>
      </c>
      <c r="D3" t="s">
        <v>19</v>
      </c>
      <c r="E3" t="s">
        <v>82</v>
      </c>
      <c r="H3" s="5" t="s">
        <v>88</v>
      </c>
    </row>
    <row r="4" spans="1:8" x14ac:dyDescent="0.25">
      <c r="A4" s="4" t="s">
        <v>5</v>
      </c>
      <c r="B4">
        <v>16095</v>
      </c>
      <c r="C4">
        <v>537065.7415</v>
      </c>
      <c r="D4">
        <v>524283.45250000001</v>
      </c>
      <c r="E4">
        <v>-12782.28899999999</v>
      </c>
      <c r="H4" s="6" t="s">
        <v>87</v>
      </c>
    </row>
    <row r="5" spans="1:8" x14ac:dyDescent="0.25">
      <c r="A5" s="4" t="s">
        <v>18</v>
      </c>
      <c r="B5">
        <v>16095</v>
      </c>
      <c r="C5">
        <v>537065.7415</v>
      </c>
      <c r="D5">
        <v>524283.45250000001</v>
      </c>
      <c r="E5">
        <v>-12782.28899999999</v>
      </c>
    </row>
    <row r="10" spans="1:8" x14ac:dyDescent="0.25">
      <c r="A10" s="3" t="s">
        <v>0</v>
      </c>
      <c r="B10" s="4">
        <v>2014</v>
      </c>
    </row>
    <row r="12" spans="1:8" x14ac:dyDescent="0.25">
      <c r="A12" s="3" t="s">
        <v>17</v>
      </c>
      <c r="B12" t="s">
        <v>21</v>
      </c>
      <c r="C12" t="s">
        <v>20</v>
      </c>
      <c r="D12" t="s">
        <v>19</v>
      </c>
      <c r="E12" t="s">
        <v>82</v>
      </c>
      <c r="H12" s="5" t="s">
        <v>83</v>
      </c>
    </row>
    <row r="13" spans="1:8" x14ac:dyDescent="0.25">
      <c r="A13" s="4" t="s">
        <v>6</v>
      </c>
      <c r="B13">
        <v>119965</v>
      </c>
      <c r="C13">
        <v>3995719.84351</v>
      </c>
      <c r="D13">
        <v>4008180.4888699902</v>
      </c>
      <c r="E13">
        <v>12460.645359990187</v>
      </c>
      <c r="H13" s="5" t="s">
        <v>84</v>
      </c>
    </row>
    <row r="14" spans="1:8" x14ac:dyDescent="0.25">
      <c r="A14" s="4" t="s">
        <v>7</v>
      </c>
      <c r="B14">
        <v>178035</v>
      </c>
      <c r="C14">
        <v>5913478.5608299999</v>
      </c>
      <c r="D14">
        <v>5780487.1753599998</v>
      </c>
      <c r="E14">
        <v>-132991.3854700001</v>
      </c>
      <c r="H14" s="5" t="s">
        <v>89</v>
      </c>
    </row>
    <row r="15" spans="1:8" x14ac:dyDescent="0.25">
      <c r="A15" s="4" t="s">
        <v>8</v>
      </c>
      <c r="B15">
        <v>252836</v>
      </c>
      <c r="C15">
        <v>8415654.0192499999</v>
      </c>
      <c r="D15">
        <v>8279517.1759399902</v>
      </c>
      <c r="E15">
        <v>-136136.84331000969</v>
      </c>
    </row>
    <row r="16" spans="1:8" x14ac:dyDescent="0.25">
      <c r="A16" s="4" t="s">
        <v>9</v>
      </c>
      <c r="B16">
        <v>190091</v>
      </c>
      <c r="C16">
        <v>6479643.6251299996</v>
      </c>
      <c r="D16">
        <v>6435743.2740099998</v>
      </c>
      <c r="E16">
        <v>-43900.351119999774</v>
      </c>
    </row>
    <row r="17" spans="1:5" x14ac:dyDescent="0.25">
      <c r="A17" s="4" t="s">
        <v>10</v>
      </c>
      <c r="B17">
        <v>235793</v>
      </c>
      <c r="C17">
        <v>8017240.4171599997</v>
      </c>
      <c r="D17">
        <v>7694906.1533899996</v>
      </c>
      <c r="E17">
        <v>-322334.26377000008</v>
      </c>
    </row>
    <row r="18" spans="1:5" x14ac:dyDescent="0.25">
      <c r="A18" s="4" t="s">
        <v>11</v>
      </c>
      <c r="B18">
        <v>198857</v>
      </c>
      <c r="C18">
        <v>6645843.6568999998</v>
      </c>
      <c r="D18">
        <v>6456943.6466999901</v>
      </c>
      <c r="E18">
        <v>-188900.01020000968</v>
      </c>
    </row>
    <row r="19" spans="1:5" x14ac:dyDescent="0.25">
      <c r="A19" s="4" t="s">
        <v>12</v>
      </c>
      <c r="B19">
        <v>147449</v>
      </c>
      <c r="C19">
        <v>5004894.9018700002</v>
      </c>
      <c r="D19">
        <v>4933710.8007300003</v>
      </c>
      <c r="E19">
        <v>-71184.101139999926</v>
      </c>
    </row>
    <row r="20" spans="1:5" x14ac:dyDescent="0.25">
      <c r="A20" s="4" t="s">
        <v>13</v>
      </c>
      <c r="B20">
        <v>310572</v>
      </c>
      <c r="C20">
        <v>10524432.4246499</v>
      </c>
      <c r="D20">
        <v>10010378.287799999</v>
      </c>
      <c r="E20">
        <v>-514054.13684990071</v>
      </c>
    </row>
    <row r="21" spans="1:5" x14ac:dyDescent="0.25">
      <c r="A21" s="4" t="s">
        <v>14</v>
      </c>
      <c r="B21">
        <v>237742</v>
      </c>
      <c r="C21">
        <v>8193560.0392699996</v>
      </c>
      <c r="D21">
        <v>7643452.6855800003</v>
      </c>
      <c r="E21">
        <v>-550107.35368999932</v>
      </c>
    </row>
    <row r="22" spans="1:5" x14ac:dyDescent="0.25">
      <c r="A22" s="4" t="s">
        <v>15</v>
      </c>
      <c r="B22">
        <v>171709</v>
      </c>
      <c r="C22">
        <v>6038461.3173200004</v>
      </c>
      <c r="D22">
        <v>5924683.3811599901</v>
      </c>
      <c r="E22">
        <v>-113777.93616001029</v>
      </c>
    </row>
    <row r="23" spans="1:5" x14ac:dyDescent="0.25">
      <c r="A23" s="4" t="s">
        <v>16</v>
      </c>
      <c r="B23">
        <v>68569</v>
      </c>
      <c r="C23">
        <v>2517124.8354500001</v>
      </c>
      <c r="D23">
        <v>2631353.3430300001</v>
      </c>
      <c r="E23">
        <v>114228.50757999998</v>
      </c>
    </row>
    <row r="24" spans="1:5" x14ac:dyDescent="0.25">
      <c r="A24" s="4" t="s">
        <v>5</v>
      </c>
      <c r="B24">
        <v>142612</v>
      </c>
      <c r="C24">
        <v>5934796.0593599901</v>
      </c>
      <c r="D24">
        <v>5615619.2988600004</v>
      </c>
      <c r="E24">
        <v>-319176.76049998961</v>
      </c>
    </row>
    <row r="25" spans="1:5" x14ac:dyDescent="0.25">
      <c r="A25" s="4" t="s">
        <v>18</v>
      </c>
      <c r="B25">
        <v>2254230</v>
      </c>
      <c r="C25">
        <v>77680849.700699866</v>
      </c>
      <c r="D25">
        <v>75414975.711429954</v>
      </c>
      <c r="E25">
        <v>-2265873.989269929</v>
      </c>
    </row>
    <row r="30" spans="1:5" x14ac:dyDescent="0.25">
      <c r="A30" s="3" t="s">
        <v>0</v>
      </c>
      <c r="B30" s="4">
        <v>2015</v>
      </c>
    </row>
    <row r="32" spans="1:5" x14ac:dyDescent="0.25">
      <c r="A32" s="3" t="s">
        <v>17</v>
      </c>
      <c r="B32" t="s">
        <v>21</v>
      </c>
      <c r="C32" t="s">
        <v>20</v>
      </c>
      <c r="D32" t="s">
        <v>19</v>
      </c>
      <c r="E32" t="s">
        <v>82</v>
      </c>
    </row>
    <row r="33" spans="1:7" x14ac:dyDescent="0.25">
      <c r="A33" s="4" t="s">
        <v>6</v>
      </c>
      <c r="B33">
        <v>91740</v>
      </c>
      <c r="C33">
        <v>3851260.4665499898</v>
      </c>
      <c r="D33">
        <v>3696191.5080200001</v>
      </c>
      <c r="E33">
        <v>-155068.9585299897</v>
      </c>
    </row>
    <row r="34" spans="1:7" x14ac:dyDescent="0.25">
      <c r="A34" s="4" t="s">
        <v>7</v>
      </c>
      <c r="B34">
        <v>127753</v>
      </c>
      <c r="C34">
        <v>5151756.26786</v>
      </c>
      <c r="D34">
        <v>4901504.8930199901</v>
      </c>
      <c r="E34">
        <v>-250251.37484000996</v>
      </c>
      <c r="G34" s="6" t="s">
        <v>91</v>
      </c>
    </row>
    <row r="35" spans="1:7" x14ac:dyDescent="0.25">
      <c r="A35" s="4" t="s">
        <v>8</v>
      </c>
      <c r="B35">
        <v>136673</v>
      </c>
      <c r="C35">
        <v>5599630.7203499898</v>
      </c>
      <c r="D35">
        <v>5269353.1525299996</v>
      </c>
      <c r="E35">
        <v>-330277.56781999022</v>
      </c>
      <c r="G35" s="6" t="s">
        <v>90</v>
      </c>
    </row>
    <row r="36" spans="1:7" x14ac:dyDescent="0.25">
      <c r="A36" s="4" t="s">
        <v>9</v>
      </c>
      <c r="B36">
        <v>153702</v>
      </c>
      <c r="C36">
        <v>6286673.6644399902</v>
      </c>
      <c r="D36">
        <v>5963993.9677100005</v>
      </c>
      <c r="E36">
        <v>-322679.69672998972</v>
      </c>
    </row>
    <row r="37" spans="1:7" x14ac:dyDescent="0.25">
      <c r="A37" s="4" t="s">
        <v>10</v>
      </c>
      <c r="B37">
        <v>220775</v>
      </c>
      <c r="C37">
        <v>8973701.8985900003</v>
      </c>
      <c r="D37">
        <v>8384367.2411700003</v>
      </c>
      <c r="E37">
        <v>-589334.65742000006</v>
      </c>
    </row>
    <row r="38" spans="1:7" x14ac:dyDescent="0.25">
      <c r="A38" s="4" t="s">
        <v>11</v>
      </c>
      <c r="B38">
        <v>136581</v>
      </c>
      <c r="C38">
        <v>5520925.3688500002</v>
      </c>
      <c r="D38">
        <v>5332108.3231999902</v>
      </c>
      <c r="E38">
        <v>-188817.04565001</v>
      </c>
    </row>
    <row r="39" spans="1:7" x14ac:dyDescent="0.25">
      <c r="A39" s="4" t="s">
        <v>12</v>
      </c>
      <c r="B39">
        <v>95600</v>
      </c>
      <c r="C39">
        <v>3829188.5650899899</v>
      </c>
      <c r="D39">
        <v>3677692.3940099999</v>
      </c>
      <c r="E39">
        <v>-151496.17107998999</v>
      </c>
    </row>
    <row r="40" spans="1:7" x14ac:dyDescent="0.25">
      <c r="A40" s="4" t="s">
        <v>13</v>
      </c>
      <c r="B40">
        <v>108899</v>
      </c>
      <c r="C40">
        <v>4210927.3350600004</v>
      </c>
      <c r="D40">
        <v>3934668.4082800001</v>
      </c>
      <c r="E40">
        <v>-276258.92678000033</v>
      </c>
    </row>
    <row r="41" spans="1:7" x14ac:dyDescent="0.25">
      <c r="A41" s="4" t="s">
        <v>14</v>
      </c>
      <c r="B41">
        <v>134837</v>
      </c>
      <c r="C41">
        <v>5024494.6950000003</v>
      </c>
      <c r="D41">
        <v>4669899.8586899899</v>
      </c>
      <c r="E41">
        <v>-354594.8363100104</v>
      </c>
    </row>
    <row r="42" spans="1:7" x14ac:dyDescent="0.25">
      <c r="A42" s="4" t="s">
        <v>15</v>
      </c>
      <c r="B42">
        <v>135328</v>
      </c>
      <c r="C42">
        <v>5175494.0774299996</v>
      </c>
      <c r="D42">
        <v>4828975.0796899898</v>
      </c>
      <c r="E42">
        <v>-346518.9977400098</v>
      </c>
    </row>
    <row r="43" spans="1:7" x14ac:dyDescent="0.25">
      <c r="A43" s="4" t="s">
        <v>16</v>
      </c>
      <c r="B43">
        <v>185868</v>
      </c>
      <c r="C43">
        <v>7138833.4545799904</v>
      </c>
      <c r="D43">
        <v>6538148.88344</v>
      </c>
      <c r="E43">
        <v>-600684.57113999035</v>
      </c>
    </row>
    <row r="44" spans="1:7" x14ac:dyDescent="0.25">
      <c r="A44" s="4" t="s">
        <v>5</v>
      </c>
      <c r="B44">
        <v>187333</v>
      </c>
      <c r="C44">
        <v>7154317.3203999996</v>
      </c>
      <c r="D44">
        <v>6820689.6777900001</v>
      </c>
      <c r="E44">
        <v>-333627.64260999952</v>
      </c>
    </row>
    <row r="45" spans="1:7" x14ac:dyDescent="0.25">
      <c r="A45" s="4" t="s">
        <v>18</v>
      </c>
      <c r="B45">
        <v>1715089</v>
      </c>
      <c r="C45">
        <v>67917203.83419995</v>
      </c>
      <c r="D45">
        <v>64017593.387549959</v>
      </c>
      <c r="E45">
        <v>-3899610.44664999</v>
      </c>
    </row>
    <row r="49" spans="1:7" x14ac:dyDescent="0.25">
      <c r="A49" s="3" t="s">
        <v>0</v>
      </c>
      <c r="B49" s="4">
        <v>2016</v>
      </c>
    </row>
    <row r="51" spans="1:7" x14ac:dyDescent="0.25">
      <c r="A51" s="3" t="s">
        <v>17</v>
      </c>
      <c r="B51" t="s">
        <v>21</v>
      </c>
      <c r="C51" t="s">
        <v>20</v>
      </c>
      <c r="D51" t="s">
        <v>19</v>
      </c>
      <c r="E51" t="s">
        <v>82</v>
      </c>
    </row>
    <row r="52" spans="1:7" x14ac:dyDescent="0.25">
      <c r="A52" s="4" t="s">
        <v>6</v>
      </c>
      <c r="B52">
        <v>150561</v>
      </c>
      <c r="C52">
        <v>5657342.71522999</v>
      </c>
      <c r="D52">
        <v>5403090.5094699999</v>
      </c>
      <c r="E52">
        <v>-254252.20575999003</v>
      </c>
    </row>
    <row r="53" spans="1:7" x14ac:dyDescent="0.25">
      <c r="A53" s="4" t="s">
        <v>7</v>
      </c>
      <c r="B53">
        <v>132990</v>
      </c>
      <c r="C53">
        <v>4889303.64361999</v>
      </c>
      <c r="D53">
        <v>4891882.30803</v>
      </c>
      <c r="E53">
        <v>2578.6644100099802</v>
      </c>
      <c r="G53" s="6" t="s">
        <v>92</v>
      </c>
    </row>
    <row r="54" spans="1:7" x14ac:dyDescent="0.25">
      <c r="A54" s="4" t="s">
        <v>8</v>
      </c>
      <c r="B54">
        <v>74185</v>
      </c>
      <c r="C54">
        <v>2917801.4912899998</v>
      </c>
      <c r="D54">
        <v>2951856.0056699999</v>
      </c>
      <c r="E54">
        <v>34054.514380000066</v>
      </c>
    </row>
    <row r="55" spans="1:7" x14ac:dyDescent="0.25">
      <c r="A55" s="4" t="s">
        <v>9</v>
      </c>
      <c r="B55">
        <v>190235</v>
      </c>
      <c r="C55">
        <v>7127731.9053100003</v>
      </c>
      <c r="D55">
        <v>6656880.1760200001</v>
      </c>
      <c r="E55">
        <v>-470851.72929000016</v>
      </c>
    </row>
    <row r="56" spans="1:7" x14ac:dyDescent="0.25">
      <c r="A56" s="4" t="s">
        <v>10</v>
      </c>
      <c r="B56">
        <v>146298</v>
      </c>
      <c r="C56">
        <v>5338394.6319699902</v>
      </c>
      <c r="D56">
        <v>5170231.85506</v>
      </c>
      <c r="E56">
        <v>-168162.77690999024</v>
      </c>
    </row>
    <row r="57" spans="1:7" x14ac:dyDescent="0.25">
      <c r="A57" s="4" t="s">
        <v>11</v>
      </c>
      <c r="B57">
        <v>197469</v>
      </c>
      <c r="C57">
        <v>7168349.6312199896</v>
      </c>
      <c r="D57">
        <v>6771134.9383199997</v>
      </c>
      <c r="E57">
        <v>-397214.6928999899</v>
      </c>
    </row>
    <row r="58" spans="1:7" x14ac:dyDescent="0.25">
      <c r="A58" s="4" t="s">
        <v>12</v>
      </c>
      <c r="B58">
        <v>90653</v>
      </c>
      <c r="C58">
        <v>3268397.27251</v>
      </c>
      <c r="D58">
        <v>3324825.4316400001</v>
      </c>
      <c r="E58">
        <v>56428.159130000044</v>
      </c>
    </row>
    <row r="59" spans="1:7" x14ac:dyDescent="0.25">
      <c r="A59" s="4" t="s">
        <v>13</v>
      </c>
      <c r="B59">
        <v>123621</v>
      </c>
      <c r="C59">
        <v>4479787.6551599996</v>
      </c>
      <c r="D59">
        <v>4343329.4138500001</v>
      </c>
      <c r="E59">
        <v>-136458.24130999949</v>
      </c>
    </row>
    <row r="60" spans="1:7" x14ac:dyDescent="0.25">
      <c r="A60" s="4" t="s">
        <v>14</v>
      </c>
      <c r="B60">
        <v>88672</v>
      </c>
      <c r="C60">
        <v>3210197.2874699999</v>
      </c>
      <c r="D60">
        <v>3259542.50177</v>
      </c>
      <c r="E60">
        <v>49345.214300000109</v>
      </c>
    </row>
    <row r="61" spans="1:7" x14ac:dyDescent="0.25">
      <c r="A61" s="4" t="s">
        <v>15</v>
      </c>
      <c r="B61">
        <v>56667</v>
      </c>
      <c r="C61">
        <v>2109211.0578299998</v>
      </c>
      <c r="D61">
        <v>2329172.7028399999</v>
      </c>
      <c r="E61">
        <v>219961.64501000009</v>
      </c>
    </row>
    <row r="62" spans="1:7" x14ac:dyDescent="0.25">
      <c r="A62" s="4" t="s">
        <v>16</v>
      </c>
      <c r="B62">
        <v>43107</v>
      </c>
      <c r="C62">
        <v>1724472.87827</v>
      </c>
      <c r="D62">
        <v>1851029.8627299999</v>
      </c>
      <c r="E62">
        <v>126556.98445999995</v>
      </c>
    </row>
    <row r="63" spans="1:7" x14ac:dyDescent="0.25">
      <c r="A63" s="4" t="s">
        <v>18</v>
      </c>
      <c r="B63">
        <v>1294458</v>
      </c>
      <c r="C63">
        <v>47890990.169879958</v>
      </c>
      <c r="D63">
        <v>46952975.705399998</v>
      </c>
      <c r="E63">
        <v>-938014.46447995957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6"/>
  <sheetViews>
    <sheetView workbookViewId="0">
      <selection activeCell="D22" sqref="D22"/>
    </sheetView>
  </sheetViews>
  <sheetFormatPr defaultRowHeight="13.2" x14ac:dyDescent="0.25"/>
  <cols>
    <col min="2" max="2" width="12.109375" customWidth="1"/>
    <col min="3" max="3" width="16.33203125" customWidth="1"/>
    <col min="4" max="4" width="19.44140625" customWidth="1"/>
    <col min="5" max="5" width="14.6640625" customWidth="1"/>
    <col min="6" max="6" width="10.6640625" customWidth="1"/>
    <col min="7" max="7" width="13" customWidth="1"/>
    <col min="9" max="9" width="27.88671875" customWidth="1"/>
    <col min="10" max="10" width="22.33203125" customWidth="1"/>
    <col min="11" max="11" width="21.33203125" customWidth="1"/>
    <col min="12" max="12" width="29.88671875" customWidth="1"/>
  </cols>
  <sheetData>
    <row r="1" spans="1:12" x14ac:dyDescent="0.25">
      <c r="A1" s="5" t="s">
        <v>75</v>
      </c>
    </row>
    <row r="2" spans="1:12" x14ac:dyDescent="0.25">
      <c r="A2" s="6"/>
    </row>
    <row r="3" spans="1:12" ht="13.8" x14ac:dyDescent="0.25">
      <c r="A3" s="16" t="s">
        <v>0</v>
      </c>
      <c r="B3" s="16" t="s">
        <v>1</v>
      </c>
      <c r="C3" s="16" t="s">
        <v>44</v>
      </c>
      <c r="D3" s="16" t="s">
        <v>45</v>
      </c>
      <c r="E3" s="16" t="s">
        <v>46</v>
      </c>
      <c r="F3" s="16" t="s">
        <v>26</v>
      </c>
      <c r="G3" s="16" t="s">
        <v>47</v>
      </c>
      <c r="H3" s="16" t="s">
        <v>48</v>
      </c>
      <c r="I3" s="16" t="s">
        <v>49</v>
      </c>
      <c r="J3" s="18" t="s">
        <v>65</v>
      </c>
      <c r="K3" s="18" t="s">
        <v>66</v>
      </c>
      <c r="L3" s="18" t="s">
        <v>67</v>
      </c>
    </row>
    <row r="4" spans="1:12" ht="68.400000000000006" x14ac:dyDescent="0.25">
      <c r="A4" s="21">
        <v>2014</v>
      </c>
      <c r="B4" s="17" t="s">
        <v>7</v>
      </c>
      <c r="C4" s="17" t="s">
        <v>50</v>
      </c>
      <c r="D4" s="21">
        <v>178.035</v>
      </c>
      <c r="E4" s="21" t="s">
        <v>51</v>
      </c>
      <c r="F4" s="17" t="s">
        <v>52</v>
      </c>
      <c r="G4" s="17" t="s">
        <v>53</v>
      </c>
      <c r="H4" s="17" t="s">
        <v>54</v>
      </c>
      <c r="I4" s="17" t="s">
        <v>77</v>
      </c>
      <c r="J4" s="19" t="s">
        <v>68</v>
      </c>
      <c r="K4" s="20" t="s">
        <v>70</v>
      </c>
      <c r="L4" s="20" t="s">
        <v>71</v>
      </c>
    </row>
    <row r="5" spans="1:12" ht="54.6" x14ac:dyDescent="0.25">
      <c r="A5" s="21">
        <v>2014</v>
      </c>
      <c r="B5" s="17" t="s">
        <v>13</v>
      </c>
      <c r="C5" s="17" t="s">
        <v>55</v>
      </c>
      <c r="D5" s="21">
        <v>310.572</v>
      </c>
      <c r="E5" s="21" t="s">
        <v>56</v>
      </c>
      <c r="F5" s="17" t="s">
        <v>57</v>
      </c>
      <c r="G5" s="17" t="s">
        <v>58</v>
      </c>
      <c r="H5" s="17" t="s">
        <v>59</v>
      </c>
      <c r="I5" s="17" t="s">
        <v>78</v>
      </c>
      <c r="J5" s="19" t="s">
        <v>69</v>
      </c>
      <c r="K5" s="17" t="s">
        <v>76</v>
      </c>
      <c r="L5" s="20" t="s">
        <v>72</v>
      </c>
    </row>
    <row r="6" spans="1:12" ht="41.4" x14ac:dyDescent="0.25">
      <c r="A6" s="21">
        <v>2015</v>
      </c>
      <c r="B6" s="17" t="s">
        <v>10</v>
      </c>
      <c r="C6" s="17" t="s">
        <v>60</v>
      </c>
      <c r="D6" s="21">
        <v>220.77500000000001</v>
      </c>
      <c r="E6" s="21" t="s">
        <v>61</v>
      </c>
      <c r="F6" s="17" t="s">
        <v>62</v>
      </c>
      <c r="G6" s="17" t="s">
        <v>63</v>
      </c>
      <c r="H6" s="17" t="s">
        <v>64</v>
      </c>
      <c r="I6" s="17" t="s">
        <v>77</v>
      </c>
      <c r="J6" s="19" t="s">
        <v>68</v>
      </c>
      <c r="K6" s="20" t="s">
        <v>73</v>
      </c>
      <c r="L6" s="2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69"/>
  <sheetViews>
    <sheetView topLeftCell="A24" workbookViewId="0">
      <selection activeCell="A50" sqref="A50"/>
    </sheetView>
  </sheetViews>
  <sheetFormatPr defaultRowHeight="13.2" x14ac:dyDescent="0.25"/>
  <cols>
    <col min="1" max="1" width="13.33203125" customWidth="1"/>
    <col min="2" max="2" width="17.88671875" customWidth="1"/>
    <col min="3" max="3" width="17.33203125" customWidth="1"/>
    <col min="4" max="4" width="20.6640625" customWidth="1"/>
  </cols>
  <sheetData>
    <row r="1" spans="1:9" x14ac:dyDescent="0.25">
      <c r="A1" s="5" t="s">
        <v>85</v>
      </c>
    </row>
    <row r="2" spans="1:9" ht="14.4" x14ac:dyDescent="0.3">
      <c r="A2" s="23">
        <v>41671</v>
      </c>
      <c r="B2" s="24">
        <v>41852</v>
      </c>
      <c r="C2" s="25">
        <v>42125</v>
      </c>
    </row>
    <row r="4" spans="1:9" x14ac:dyDescent="0.25">
      <c r="A4" s="28" t="s">
        <v>31</v>
      </c>
      <c r="B4" s="29"/>
      <c r="G4" s="30" t="s">
        <v>33</v>
      </c>
      <c r="H4" s="31"/>
      <c r="I4" s="31"/>
    </row>
    <row r="5" spans="1:9" ht="14.4" x14ac:dyDescent="0.25">
      <c r="A5" s="8" t="s">
        <v>41</v>
      </c>
      <c r="G5" s="6" t="s">
        <v>40</v>
      </c>
    </row>
    <row r="6" spans="1:9" x14ac:dyDescent="0.25">
      <c r="A6" s="6" t="s">
        <v>93</v>
      </c>
      <c r="G6" s="15" t="s">
        <v>97</v>
      </c>
    </row>
    <row r="7" spans="1:9" x14ac:dyDescent="0.25">
      <c r="A7" s="6" t="s">
        <v>94</v>
      </c>
      <c r="G7" t="s">
        <v>98</v>
      </c>
    </row>
    <row r="8" spans="1:9" x14ac:dyDescent="0.25">
      <c r="A8" s="14" t="s">
        <v>23</v>
      </c>
      <c r="G8" s="14" t="s">
        <v>23</v>
      </c>
    </row>
    <row r="9" spans="1:9" ht="14.4" x14ac:dyDescent="0.25">
      <c r="A9" s="8" t="s">
        <v>35</v>
      </c>
      <c r="G9" s="8" t="s">
        <v>99</v>
      </c>
    </row>
    <row r="10" spans="1:9" x14ac:dyDescent="0.25">
      <c r="A10" s="6" t="s">
        <v>95</v>
      </c>
      <c r="G10" s="5" t="s">
        <v>27</v>
      </c>
    </row>
    <row r="11" spans="1:9" ht="14.4" x14ac:dyDescent="0.25">
      <c r="A11" s="5" t="s">
        <v>27</v>
      </c>
      <c r="G11" s="8" t="s">
        <v>100</v>
      </c>
    </row>
    <row r="12" spans="1:9" x14ac:dyDescent="0.25">
      <c r="A12" s="6" t="s">
        <v>36</v>
      </c>
      <c r="G12" s="5" t="s">
        <v>22</v>
      </c>
    </row>
    <row r="13" spans="1:9" ht="14.4" x14ac:dyDescent="0.25">
      <c r="A13" s="6" t="s">
        <v>96</v>
      </c>
      <c r="G13" s="8" t="s">
        <v>38</v>
      </c>
    </row>
    <row r="14" spans="1:9" x14ac:dyDescent="0.25">
      <c r="A14" s="5" t="s">
        <v>22</v>
      </c>
      <c r="G14" s="6" t="s">
        <v>104</v>
      </c>
    </row>
    <row r="15" spans="1:9" x14ac:dyDescent="0.25">
      <c r="A15" s="6" t="s">
        <v>37</v>
      </c>
    </row>
    <row r="16" spans="1:9" x14ac:dyDescent="0.25">
      <c r="A16" s="6" t="s">
        <v>30</v>
      </c>
    </row>
    <row r="20" spans="1:4" x14ac:dyDescent="0.25">
      <c r="A20" s="3" t="s">
        <v>0</v>
      </c>
      <c r="B20" s="4">
        <v>2014</v>
      </c>
    </row>
    <row r="22" spans="1:4" x14ac:dyDescent="0.25">
      <c r="A22" s="3" t="s">
        <v>17</v>
      </c>
      <c r="B22" t="s">
        <v>19</v>
      </c>
      <c r="C22" t="s">
        <v>20</v>
      </c>
      <c r="D22" t="s">
        <v>21</v>
      </c>
    </row>
    <row r="23" spans="1:4" x14ac:dyDescent="0.25">
      <c r="A23" s="4" t="s">
        <v>6</v>
      </c>
      <c r="B23">
        <v>4008180.4888699902</v>
      </c>
      <c r="C23">
        <v>3995719.84351</v>
      </c>
      <c r="D23">
        <v>119965</v>
      </c>
    </row>
    <row r="24" spans="1:4" x14ac:dyDescent="0.25">
      <c r="A24" s="4" t="s">
        <v>7</v>
      </c>
      <c r="B24">
        <v>5780487.1753599998</v>
      </c>
      <c r="C24">
        <v>5913478.5608299999</v>
      </c>
      <c r="D24">
        <v>178035</v>
      </c>
    </row>
    <row r="25" spans="1:4" x14ac:dyDescent="0.25">
      <c r="A25" s="4" t="s">
        <v>8</v>
      </c>
      <c r="B25">
        <v>8279517.1759399902</v>
      </c>
      <c r="C25">
        <v>8415654.0192499999</v>
      </c>
      <c r="D25">
        <v>252836</v>
      </c>
    </row>
    <row r="26" spans="1:4" x14ac:dyDescent="0.25">
      <c r="A26" s="4" t="s">
        <v>9</v>
      </c>
      <c r="B26">
        <v>6435743.2740099998</v>
      </c>
      <c r="C26">
        <v>6479643.6251299996</v>
      </c>
      <c r="D26">
        <v>190091</v>
      </c>
    </row>
    <row r="27" spans="1:4" x14ac:dyDescent="0.25">
      <c r="A27" s="4" t="s">
        <v>10</v>
      </c>
      <c r="B27">
        <v>7694906.1533899996</v>
      </c>
      <c r="C27">
        <v>8017240.4171599997</v>
      </c>
      <c r="D27">
        <v>235793</v>
      </c>
    </row>
    <row r="28" spans="1:4" x14ac:dyDescent="0.25">
      <c r="A28" s="4" t="s">
        <v>11</v>
      </c>
      <c r="B28">
        <v>6456943.6466999901</v>
      </c>
      <c r="C28">
        <v>6645843.6568999998</v>
      </c>
      <c r="D28">
        <v>198857</v>
      </c>
    </row>
    <row r="29" spans="1:4" x14ac:dyDescent="0.25">
      <c r="A29" s="4" t="s">
        <v>12</v>
      </c>
      <c r="B29">
        <v>4933710.8007300003</v>
      </c>
      <c r="C29">
        <v>5004894.9018700002</v>
      </c>
      <c r="D29">
        <v>147449</v>
      </c>
    </row>
    <row r="30" spans="1:4" x14ac:dyDescent="0.25">
      <c r="A30" s="4" t="s">
        <v>13</v>
      </c>
      <c r="B30">
        <v>10010378.287799999</v>
      </c>
      <c r="C30">
        <v>10524432.4246499</v>
      </c>
      <c r="D30">
        <v>310572</v>
      </c>
    </row>
    <row r="31" spans="1:4" x14ac:dyDescent="0.25">
      <c r="A31" s="4" t="s">
        <v>14</v>
      </c>
      <c r="B31">
        <v>7643452.6855800003</v>
      </c>
      <c r="C31">
        <v>8193560.0392699996</v>
      </c>
      <c r="D31">
        <v>237742</v>
      </c>
    </row>
    <row r="32" spans="1:4" x14ac:dyDescent="0.25">
      <c r="A32" s="4" t="s">
        <v>15</v>
      </c>
      <c r="B32">
        <v>5924683.3811599901</v>
      </c>
      <c r="C32">
        <v>6038461.3173200004</v>
      </c>
      <c r="D32">
        <v>171709</v>
      </c>
    </row>
    <row r="33" spans="1:4" x14ac:dyDescent="0.25">
      <c r="A33" s="4" t="s">
        <v>16</v>
      </c>
      <c r="B33">
        <v>2631353.3430300001</v>
      </c>
      <c r="C33">
        <v>2517124.8354500001</v>
      </c>
      <c r="D33">
        <v>68569</v>
      </c>
    </row>
    <row r="34" spans="1:4" x14ac:dyDescent="0.25">
      <c r="A34" s="4" t="s">
        <v>5</v>
      </c>
      <c r="B34">
        <v>5615619.2988600004</v>
      </c>
      <c r="C34">
        <v>5934796.0593599901</v>
      </c>
      <c r="D34">
        <v>142612</v>
      </c>
    </row>
    <row r="35" spans="1:4" x14ac:dyDescent="0.25">
      <c r="A35" s="4" t="s">
        <v>18</v>
      </c>
      <c r="B35">
        <v>75414975.711429954</v>
      </c>
      <c r="C35">
        <v>77680849.700699866</v>
      </c>
      <c r="D35">
        <v>2254230</v>
      </c>
    </row>
    <row r="40" spans="1:4" x14ac:dyDescent="0.25">
      <c r="A40" s="26" t="s">
        <v>39</v>
      </c>
      <c r="B40" s="27"/>
    </row>
    <row r="41" spans="1:4" x14ac:dyDescent="0.25">
      <c r="A41" s="6" t="s">
        <v>40</v>
      </c>
    </row>
    <row r="42" spans="1:4" x14ac:dyDescent="0.25">
      <c r="A42" s="6" t="s">
        <v>101</v>
      </c>
    </row>
    <row r="43" spans="1:4" x14ac:dyDescent="0.25">
      <c r="A43" s="6" t="s">
        <v>102</v>
      </c>
    </row>
    <row r="44" spans="1:4" x14ac:dyDescent="0.25">
      <c r="A44" s="5" t="s">
        <v>23</v>
      </c>
    </row>
    <row r="45" spans="1:4" ht="14.4" x14ac:dyDescent="0.25">
      <c r="A45" s="8" t="s">
        <v>42</v>
      </c>
    </row>
    <row r="46" spans="1:4" x14ac:dyDescent="0.25">
      <c r="A46" s="5" t="s">
        <v>27</v>
      </c>
    </row>
    <row r="47" spans="1:4" ht="14.4" x14ac:dyDescent="0.25">
      <c r="A47" s="8" t="s">
        <v>103</v>
      </c>
    </row>
    <row r="48" spans="1:4" x14ac:dyDescent="0.25">
      <c r="A48" s="5" t="s">
        <v>22</v>
      </c>
    </row>
    <row r="49" spans="1:4" ht="14.4" x14ac:dyDescent="0.25">
      <c r="A49" s="8" t="s">
        <v>43</v>
      </c>
    </row>
    <row r="50" spans="1:4" x14ac:dyDescent="0.25">
      <c r="A50" s="6" t="s">
        <v>105</v>
      </c>
    </row>
    <row r="51" spans="1:4" x14ac:dyDescent="0.25">
      <c r="A51" s="6"/>
    </row>
    <row r="52" spans="1:4" x14ac:dyDescent="0.25">
      <c r="A52" s="6"/>
    </row>
    <row r="53" spans="1:4" x14ac:dyDescent="0.25">
      <c r="A53" s="6"/>
    </row>
    <row r="54" spans="1:4" x14ac:dyDescent="0.25">
      <c r="A54" s="3" t="s">
        <v>0</v>
      </c>
      <c r="B54" s="4">
        <v>2015</v>
      </c>
    </row>
    <row r="56" spans="1:4" x14ac:dyDescent="0.25">
      <c r="A56" s="3" t="s">
        <v>17</v>
      </c>
      <c r="B56" t="s">
        <v>19</v>
      </c>
      <c r="C56" t="s">
        <v>20</v>
      </c>
      <c r="D56" t="s">
        <v>21</v>
      </c>
    </row>
    <row r="57" spans="1:4" x14ac:dyDescent="0.25">
      <c r="A57" s="4" t="s">
        <v>6</v>
      </c>
      <c r="B57">
        <v>3696191.5080200001</v>
      </c>
      <c r="C57">
        <v>3851260.4665499898</v>
      </c>
      <c r="D57">
        <v>91740</v>
      </c>
    </row>
    <row r="58" spans="1:4" x14ac:dyDescent="0.25">
      <c r="A58" s="4" t="s">
        <v>7</v>
      </c>
      <c r="B58">
        <v>4901504.8930199901</v>
      </c>
      <c r="C58">
        <v>5151756.26786</v>
      </c>
      <c r="D58">
        <v>127753</v>
      </c>
    </row>
    <row r="59" spans="1:4" x14ac:dyDescent="0.25">
      <c r="A59" s="4" t="s">
        <v>8</v>
      </c>
      <c r="B59">
        <v>5269353.1525299996</v>
      </c>
      <c r="C59">
        <v>5599630.7203499898</v>
      </c>
      <c r="D59">
        <v>136673</v>
      </c>
    </row>
    <row r="60" spans="1:4" x14ac:dyDescent="0.25">
      <c r="A60" s="4" t="s">
        <v>9</v>
      </c>
      <c r="B60">
        <v>5963993.9677100005</v>
      </c>
      <c r="C60">
        <v>6286673.6644399902</v>
      </c>
      <c r="D60">
        <v>153702</v>
      </c>
    </row>
    <row r="61" spans="1:4" x14ac:dyDescent="0.25">
      <c r="A61" s="4" t="s">
        <v>10</v>
      </c>
      <c r="B61">
        <v>8384367.2411700003</v>
      </c>
      <c r="C61">
        <v>8973701.8985900003</v>
      </c>
      <c r="D61">
        <v>220775</v>
      </c>
    </row>
    <row r="62" spans="1:4" x14ac:dyDescent="0.25">
      <c r="A62" s="4" t="s">
        <v>11</v>
      </c>
      <c r="B62">
        <v>5332108.3231999902</v>
      </c>
      <c r="C62">
        <v>5520925.3688500002</v>
      </c>
      <c r="D62">
        <v>136581</v>
      </c>
    </row>
    <row r="63" spans="1:4" x14ac:dyDescent="0.25">
      <c r="A63" s="4" t="s">
        <v>12</v>
      </c>
      <c r="B63">
        <v>3677692.3940099999</v>
      </c>
      <c r="C63">
        <v>3829188.5650899899</v>
      </c>
      <c r="D63">
        <v>95600</v>
      </c>
    </row>
    <row r="64" spans="1:4" x14ac:dyDescent="0.25">
      <c r="A64" s="4" t="s">
        <v>13</v>
      </c>
      <c r="B64">
        <v>3934668.4082800001</v>
      </c>
      <c r="C64">
        <v>4210927.3350600004</v>
      </c>
      <c r="D64">
        <v>108899</v>
      </c>
    </row>
    <row r="65" spans="1:4" x14ac:dyDescent="0.25">
      <c r="A65" s="4" t="s">
        <v>14</v>
      </c>
      <c r="B65">
        <v>4669899.8586899899</v>
      </c>
      <c r="C65">
        <v>5024494.6950000003</v>
      </c>
      <c r="D65">
        <v>134837</v>
      </c>
    </row>
    <row r="66" spans="1:4" x14ac:dyDescent="0.25">
      <c r="A66" s="4" t="s">
        <v>15</v>
      </c>
      <c r="B66">
        <v>4828975.0796899898</v>
      </c>
      <c r="C66">
        <v>5175494.0774299996</v>
      </c>
      <c r="D66">
        <v>135328</v>
      </c>
    </row>
    <row r="67" spans="1:4" x14ac:dyDescent="0.25">
      <c r="A67" s="4" t="s">
        <v>16</v>
      </c>
      <c r="B67">
        <v>6538148.88344</v>
      </c>
      <c r="C67">
        <v>7138833.4545799904</v>
      </c>
      <c r="D67">
        <v>185868</v>
      </c>
    </row>
    <row r="68" spans="1:4" x14ac:dyDescent="0.25">
      <c r="A68" s="4" t="s">
        <v>5</v>
      </c>
      <c r="B68">
        <v>6820689.6777900001</v>
      </c>
      <c r="C68">
        <v>7154317.3203999996</v>
      </c>
      <c r="D68">
        <v>187333</v>
      </c>
    </row>
    <row r="69" spans="1:4" x14ac:dyDescent="0.25">
      <c r="A69" s="4" t="s">
        <v>18</v>
      </c>
      <c r="B69">
        <v>64017593.387549959</v>
      </c>
      <c r="C69">
        <v>67917203.83419995</v>
      </c>
      <c r="D69">
        <v>1715089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2:L61"/>
  <sheetViews>
    <sheetView tabSelected="1" workbookViewId="0">
      <selection activeCell="K37" sqref="K37"/>
    </sheetView>
  </sheetViews>
  <sheetFormatPr defaultRowHeight="13.2" x14ac:dyDescent="0.25"/>
  <cols>
    <col min="1" max="1" width="13.33203125" customWidth="1"/>
    <col min="2" max="2" width="17.88671875" customWidth="1"/>
    <col min="3" max="3" width="17.33203125" customWidth="1"/>
    <col min="4" max="4" width="20.6640625" customWidth="1"/>
    <col min="7" max="7" width="12.109375" customWidth="1"/>
    <col min="11" max="11" width="11.33203125" customWidth="1"/>
  </cols>
  <sheetData>
    <row r="2" spans="1:12" x14ac:dyDescent="0.25">
      <c r="K2" s="5" t="s">
        <v>80</v>
      </c>
    </row>
    <row r="3" spans="1:12" x14ac:dyDescent="0.25">
      <c r="A3" s="3" t="s">
        <v>0</v>
      </c>
      <c r="B3" s="4">
        <v>2013</v>
      </c>
    </row>
    <row r="4" spans="1:12" x14ac:dyDescent="0.25">
      <c r="K4" s="5" t="s">
        <v>24</v>
      </c>
    </row>
    <row r="5" spans="1:12" x14ac:dyDescent="0.25">
      <c r="A5" s="3" t="s">
        <v>17</v>
      </c>
      <c r="B5" t="s">
        <v>19</v>
      </c>
      <c r="C5" t="s">
        <v>20</v>
      </c>
      <c r="D5" t="s">
        <v>21</v>
      </c>
      <c r="K5" s="6" t="s">
        <v>25</v>
      </c>
    </row>
    <row r="6" spans="1:12" x14ac:dyDescent="0.25">
      <c r="A6" s="4" t="s">
        <v>5</v>
      </c>
      <c r="B6" s="7">
        <v>524283.45250000001</v>
      </c>
      <c r="C6" s="7">
        <v>537065.7415</v>
      </c>
      <c r="D6">
        <v>16095</v>
      </c>
    </row>
    <row r="7" spans="1:12" x14ac:dyDescent="0.25">
      <c r="A7" s="4" t="s">
        <v>18</v>
      </c>
      <c r="B7" s="7">
        <v>524283.45250000001</v>
      </c>
      <c r="C7" s="7">
        <v>537065.7415</v>
      </c>
      <c r="D7">
        <v>16095</v>
      </c>
      <c r="K7" s="5" t="s">
        <v>28</v>
      </c>
      <c r="L7" s="6"/>
    </row>
    <row r="8" spans="1:12" x14ac:dyDescent="0.25">
      <c r="K8" s="6" t="s">
        <v>34</v>
      </c>
      <c r="L8" s="6"/>
    </row>
    <row r="9" spans="1:12" x14ac:dyDescent="0.25">
      <c r="K9" s="5"/>
    </row>
    <row r="10" spans="1:12" x14ac:dyDescent="0.25">
      <c r="K10" s="5" t="s">
        <v>29</v>
      </c>
    </row>
    <row r="11" spans="1:12" ht="14.4" x14ac:dyDescent="0.25">
      <c r="A11" s="3" t="s">
        <v>0</v>
      </c>
      <c r="B11" s="4">
        <v>2014</v>
      </c>
      <c r="K11" s="8" t="s">
        <v>79</v>
      </c>
    </row>
    <row r="12" spans="1:12" ht="14.4" x14ac:dyDescent="0.25">
      <c r="K12" s="8"/>
    </row>
    <row r="13" spans="1:12" x14ac:dyDescent="0.25">
      <c r="A13" s="3" t="s">
        <v>17</v>
      </c>
      <c r="B13" t="s">
        <v>19</v>
      </c>
      <c r="C13" t="s">
        <v>20</v>
      </c>
      <c r="D13" t="s">
        <v>21</v>
      </c>
      <c r="K13" s="5" t="s">
        <v>22</v>
      </c>
    </row>
    <row r="14" spans="1:12" x14ac:dyDescent="0.25">
      <c r="A14" s="4" t="s">
        <v>6</v>
      </c>
      <c r="B14" s="7">
        <v>4008180.4888699902</v>
      </c>
      <c r="C14" s="7">
        <v>3995719.84351</v>
      </c>
      <c r="D14">
        <v>119965</v>
      </c>
      <c r="K14" s="6" t="s">
        <v>32</v>
      </c>
    </row>
    <row r="15" spans="1:12" s="12" customFormat="1" x14ac:dyDescent="0.25">
      <c r="A15" s="10" t="s">
        <v>7</v>
      </c>
      <c r="B15" s="11">
        <v>5780487.1753599998</v>
      </c>
      <c r="C15" s="11">
        <v>5913478.5608299999</v>
      </c>
      <c r="D15" s="12">
        <v>178035</v>
      </c>
      <c r="K15" s="13"/>
    </row>
    <row r="16" spans="1:12" x14ac:dyDescent="0.25">
      <c r="A16" s="4" t="s">
        <v>8</v>
      </c>
      <c r="B16" s="7">
        <v>8279517.1759399902</v>
      </c>
      <c r="C16" s="7">
        <v>8415654.0192499999</v>
      </c>
      <c r="D16">
        <v>252836</v>
      </c>
    </row>
    <row r="17" spans="1:11" x14ac:dyDescent="0.25">
      <c r="A17" s="4" t="s">
        <v>9</v>
      </c>
      <c r="B17" s="7">
        <v>6435743.2740099998</v>
      </c>
      <c r="C17" s="7">
        <v>6479643.6251299996</v>
      </c>
      <c r="D17">
        <v>190091</v>
      </c>
    </row>
    <row r="18" spans="1:11" ht="14.4" x14ac:dyDescent="0.3">
      <c r="A18" s="4" t="s">
        <v>10</v>
      </c>
      <c r="B18" s="7">
        <v>7694906.1533899996</v>
      </c>
      <c r="C18" s="7">
        <v>8017240.4171599997</v>
      </c>
      <c r="D18">
        <v>235793</v>
      </c>
      <c r="K18" s="9"/>
    </row>
    <row r="19" spans="1:11" x14ac:dyDescent="0.25">
      <c r="A19" s="4" t="s">
        <v>11</v>
      </c>
      <c r="B19" s="7">
        <v>6456943.6466999901</v>
      </c>
      <c r="C19" s="7">
        <v>6645843.6568999998</v>
      </c>
      <c r="D19">
        <v>198857</v>
      </c>
    </row>
    <row r="20" spans="1:11" x14ac:dyDescent="0.25">
      <c r="A20" s="4" t="s">
        <v>12</v>
      </c>
      <c r="B20" s="7">
        <v>4933710.8007300003</v>
      </c>
      <c r="C20" s="7">
        <v>5004894.9018700002</v>
      </c>
      <c r="D20">
        <v>147449</v>
      </c>
    </row>
    <row r="21" spans="1:11" x14ac:dyDescent="0.25">
      <c r="A21" s="4" t="s">
        <v>13</v>
      </c>
      <c r="B21" s="7">
        <v>10010378.287799999</v>
      </c>
      <c r="C21" s="7">
        <v>10524432.4246499</v>
      </c>
      <c r="D21">
        <v>310572</v>
      </c>
    </row>
    <row r="22" spans="1:11" x14ac:dyDescent="0.25">
      <c r="A22" s="4" t="s">
        <v>14</v>
      </c>
      <c r="B22" s="7">
        <v>7643452.6855800003</v>
      </c>
      <c r="C22" s="7">
        <v>8193560.0392699996</v>
      </c>
      <c r="D22">
        <v>237742</v>
      </c>
    </row>
    <row r="23" spans="1:11" x14ac:dyDescent="0.25">
      <c r="A23" s="4" t="s">
        <v>15</v>
      </c>
      <c r="B23" s="7">
        <v>5924683.3811599901</v>
      </c>
      <c r="C23" s="7">
        <v>6038461.3173200004</v>
      </c>
      <c r="D23">
        <v>171709</v>
      </c>
    </row>
    <row r="24" spans="1:11" x14ac:dyDescent="0.25">
      <c r="A24" s="4" t="s">
        <v>16</v>
      </c>
      <c r="B24" s="7">
        <v>2631353.3430300001</v>
      </c>
      <c r="C24" s="7">
        <v>2517124.8354500001</v>
      </c>
      <c r="D24">
        <v>68569</v>
      </c>
    </row>
    <row r="25" spans="1:11" x14ac:dyDescent="0.25">
      <c r="A25" s="4" t="s">
        <v>5</v>
      </c>
      <c r="B25" s="7">
        <v>5615619.2988600004</v>
      </c>
      <c r="C25" s="7">
        <v>5934796.0593599901</v>
      </c>
      <c r="D25">
        <v>142612</v>
      </c>
    </row>
    <row r="26" spans="1:11" x14ac:dyDescent="0.25">
      <c r="A26" s="4" t="s">
        <v>18</v>
      </c>
      <c r="B26" s="7">
        <v>75414975.711429954</v>
      </c>
      <c r="C26" s="7">
        <v>77680849.700699866</v>
      </c>
      <c r="D26">
        <v>2254230</v>
      </c>
    </row>
    <row r="29" spans="1:11" x14ac:dyDescent="0.25">
      <c r="A29" s="3" t="s">
        <v>0</v>
      </c>
      <c r="B29" s="4">
        <v>2015</v>
      </c>
    </row>
    <row r="31" spans="1:11" x14ac:dyDescent="0.25">
      <c r="A31" s="3" t="s">
        <v>17</v>
      </c>
      <c r="B31" t="s">
        <v>19</v>
      </c>
      <c r="C31" t="s">
        <v>20</v>
      </c>
      <c r="D31" t="s">
        <v>21</v>
      </c>
    </row>
    <row r="32" spans="1:11" x14ac:dyDescent="0.25">
      <c r="A32" s="4" t="s">
        <v>6</v>
      </c>
      <c r="B32" s="7">
        <v>3696191.5080200001</v>
      </c>
      <c r="C32" s="7">
        <v>3851260.4665499898</v>
      </c>
      <c r="D32">
        <v>91740</v>
      </c>
    </row>
    <row r="33" spans="1:4" x14ac:dyDescent="0.25">
      <c r="A33" s="4" t="s">
        <v>7</v>
      </c>
      <c r="B33" s="7">
        <v>4901504.8930199901</v>
      </c>
      <c r="C33" s="7">
        <v>5151756.26786</v>
      </c>
      <c r="D33">
        <v>127753</v>
      </c>
    </row>
    <row r="34" spans="1:4" x14ac:dyDescent="0.25">
      <c r="A34" s="4" t="s">
        <v>8</v>
      </c>
      <c r="B34" s="7">
        <v>5269353.1525299996</v>
      </c>
      <c r="C34" s="7">
        <v>5599630.7203499898</v>
      </c>
      <c r="D34">
        <v>136673</v>
      </c>
    </row>
    <row r="35" spans="1:4" x14ac:dyDescent="0.25">
      <c r="A35" s="4" t="s">
        <v>9</v>
      </c>
      <c r="B35" s="7">
        <v>5963993.9677100005</v>
      </c>
      <c r="C35" s="7">
        <v>6286673.6644399902</v>
      </c>
      <c r="D35">
        <v>153702</v>
      </c>
    </row>
    <row r="36" spans="1:4" x14ac:dyDescent="0.25">
      <c r="A36" s="4" t="s">
        <v>10</v>
      </c>
      <c r="B36" s="7">
        <v>8384367.2411700003</v>
      </c>
      <c r="C36" s="7">
        <v>8973701.8985900003</v>
      </c>
      <c r="D36">
        <v>220775</v>
      </c>
    </row>
    <row r="37" spans="1:4" x14ac:dyDescent="0.25">
      <c r="A37" s="4" t="s">
        <v>11</v>
      </c>
      <c r="B37" s="7">
        <v>5332108.3231999902</v>
      </c>
      <c r="C37" s="7">
        <v>5520925.3688500002</v>
      </c>
      <c r="D37">
        <v>136581</v>
      </c>
    </row>
    <row r="38" spans="1:4" x14ac:dyDescent="0.25">
      <c r="A38" s="4" t="s">
        <v>12</v>
      </c>
      <c r="B38" s="7">
        <v>3677692.3940099999</v>
      </c>
      <c r="C38" s="7">
        <v>3829188.5650899899</v>
      </c>
      <c r="D38">
        <v>95600</v>
      </c>
    </row>
    <row r="39" spans="1:4" x14ac:dyDescent="0.25">
      <c r="A39" s="4" t="s">
        <v>13</v>
      </c>
      <c r="B39" s="7">
        <v>3934668.4082800001</v>
      </c>
      <c r="C39" s="7">
        <v>4210927.3350600004</v>
      </c>
      <c r="D39">
        <v>108899</v>
      </c>
    </row>
    <row r="40" spans="1:4" x14ac:dyDescent="0.25">
      <c r="A40" s="4" t="s">
        <v>14</v>
      </c>
      <c r="B40" s="7">
        <v>4669899.8586899899</v>
      </c>
      <c r="C40" s="7">
        <v>5024494.6950000003</v>
      </c>
      <c r="D40">
        <v>134837</v>
      </c>
    </row>
    <row r="41" spans="1:4" x14ac:dyDescent="0.25">
      <c r="A41" s="4" t="s">
        <v>15</v>
      </c>
      <c r="B41" s="7">
        <v>4828975.0796899898</v>
      </c>
      <c r="C41" s="7">
        <v>5175494.0774299996</v>
      </c>
      <c r="D41">
        <v>135328</v>
      </c>
    </row>
    <row r="42" spans="1:4" x14ac:dyDescent="0.25">
      <c r="A42" s="4" t="s">
        <v>16</v>
      </c>
      <c r="B42" s="7">
        <v>6538148.88344</v>
      </c>
      <c r="C42" s="7">
        <v>7138833.4545799904</v>
      </c>
      <c r="D42">
        <v>185868</v>
      </c>
    </row>
    <row r="43" spans="1:4" x14ac:dyDescent="0.25">
      <c r="A43" s="4" t="s">
        <v>5</v>
      </c>
      <c r="B43" s="7">
        <v>6820689.6777900001</v>
      </c>
      <c r="C43" s="7">
        <v>7154317.3203999996</v>
      </c>
      <c r="D43">
        <v>187333</v>
      </c>
    </row>
    <row r="44" spans="1:4" x14ac:dyDescent="0.25">
      <c r="A44" s="4" t="s">
        <v>18</v>
      </c>
      <c r="B44" s="7">
        <v>64017593.387549959</v>
      </c>
      <c r="C44" s="7">
        <v>67917203.83419995</v>
      </c>
      <c r="D44">
        <v>1715089</v>
      </c>
    </row>
    <row r="47" spans="1:4" x14ac:dyDescent="0.25">
      <c r="A47" s="3" t="s">
        <v>0</v>
      </c>
      <c r="B47" s="4">
        <v>2016</v>
      </c>
    </row>
    <row r="49" spans="1:4" x14ac:dyDescent="0.25">
      <c r="A49" s="3" t="s">
        <v>17</v>
      </c>
      <c r="B49" t="s">
        <v>19</v>
      </c>
      <c r="C49" s="7" t="s">
        <v>20</v>
      </c>
      <c r="D49" t="s">
        <v>21</v>
      </c>
    </row>
    <row r="50" spans="1:4" x14ac:dyDescent="0.25">
      <c r="A50" s="4" t="s">
        <v>6</v>
      </c>
      <c r="B50" s="7">
        <v>5403090.5094699999</v>
      </c>
      <c r="C50" s="7">
        <v>5657342.71522999</v>
      </c>
      <c r="D50">
        <v>150561</v>
      </c>
    </row>
    <row r="51" spans="1:4" x14ac:dyDescent="0.25">
      <c r="A51" s="4" t="s">
        <v>7</v>
      </c>
      <c r="B51" s="7">
        <v>4891882.30803</v>
      </c>
      <c r="C51" s="7">
        <v>4889303.64361999</v>
      </c>
      <c r="D51">
        <v>132990</v>
      </c>
    </row>
    <row r="52" spans="1:4" x14ac:dyDescent="0.25">
      <c r="A52" s="4" t="s">
        <v>8</v>
      </c>
      <c r="B52" s="7">
        <v>2951856.0056699999</v>
      </c>
      <c r="C52" s="7">
        <v>2917801.4912899998</v>
      </c>
      <c r="D52">
        <v>74185</v>
      </c>
    </row>
    <row r="53" spans="1:4" x14ac:dyDescent="0.25">
      <c r="A53" s="4" t="s">
        <v>9</v>
      </c>
      <c r="B53" s="7">
        <v>6656880.1760200001</v>
      </c>
      <c r="C53" s="7">
        <v>7127731.9053100003</v>
      </c>
      <c r="D53">
        <v>190235</v>
      </c>
    </row>
    <row r="54" spans="1:4" x14ac:dyDescent="0.25">
      <c r="A54" s="4" t="s">
        <v>10</v>
      </c>
      <c r="B54" s="7">
        <v>5170231.85506</v>
      </c>
      <c r="C54" s="7">
        <v>5338394.6319699902</v>
      </c>
      <c r="D54">
        <v>146298</v>
      </c>
    </row>
    <row r="55" spans="1:4" x14ac:dyDescent="0.25">
      <c r="A55" s="4" t="s">
        <v>11</v>
      </c>
      <c r="B55" s="7">
        <v>6771134.9383199997</v>
      </c>
      <c r="C55" s="7">
        <v>7168349.6312199896</v>
      </c>
      <c r="D55">
        <v>197469</v>
      </c>
    </row>
    <row r="56" spans="1:4" x14ac:dyDescent="0.25">
      <c r="A56" s="4" t="s">
        <v>12</v>
      </c>
      <c r="B56" s="7">
        <v>3324825.4316400001</v>
      </c>
      <c r="C56" s="7">
        <v>3268397.27251</v>
      </c>
      <c r="D56">
        <v>90653</v>
      </c>
    </row>
    <row r="57" spans="1:4" x14ac:dyDescent="0.25">
      <c r="A57" s="4" t="s">
        <v>13</v>
      </c>
      <c r="B57" s="7">
        <v>4343329.4138500001</v>
      </c>
      <c r="C57" s="7">
        <v>4479787.6551599996</v>
      </c>
      <c r="D57">
        <v>123621</v>
      </c>
    </row>
    <row r="58" spans="1:4" x14ac:dyDescent="0.25">
      <c r="A58" s="4" t="s">
        <v>14</v>
      </c>
      <c r="B58" s="7">
        <v>3259542.50177</v>
      </c>
      <c r="C58" s="7">
        <v>3210197.2874699999</v>
      </c>
      <c r="D58">
        <v>88672</v>
      </c>
    </row>
    <row r="59" spans="1:4" x14ac:dyDescent="0.25">
      <c r="A59" s="4" t="s">
        <v>15</v>
      </c>
      <c r="B59" s="7">
        <v>2329172.7028399999</v>
      </c>
      <c r="C59" s="7">
        <v>2109211.0578299998</v>
      </c>
      <c r="D59">
        <v>56667</v>
      </c>
    </row>
    <row r="60" spans="1:4" x14ac:dyDescent="0.25">
      <c r="A60" s="4" t="s">
        <v>16</v>
      </c>
      <c r="B60" s="7">
        <v>1851029.8627299999</v>
      </c>
      <c r="C60" s="7">
        <v>1724472.87827</v>
      </c>
      <c r="D60">
        <v>43107</v>
      </c>
    </row>
    <row r="61" spans="1:4" x14ac:dyDescent="0.25">
      <c r="A61" s="4" t="s">
        <v>18</v>
      </c>
      <c r="B61" s="7">
        <v>46952975.705399998</v>
      </c>
      <c r="C61" s="7">
        <v>47890990.169879958</v>
      </c>
      <c r="D61">
        <v>1294458</v>
      </c>
    </row>
  </sheetData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outlinePr summaryBelow="0" summaryRight="0"/>
  </sheetPr>
  <dimension ref="A1:F1000"/>
  <sheetViews>
    <sheetView workbookViewId="0">
      <pane xSplit="2" topLeftCell="C1" activePane="topRight" state="frozen"/>
      <selection pane="topRight" activeCell="M30" sqref="M30"/>
    </sheetView>
  </sheetViews>
  <sheetFormatPr defaultColWidth="12.6640625" defaultRowHeight="15.75" customHeight="1" x14ac:dyDescent="0.25"/>
  <sheetData>
    <row r="1" spans="1:6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81</v>
      </c>
    </row>
    <row r="2" spans="1:6" ht="15.75" customHeight="1" x14ac:dyDescent="0.25">
      <c r="A2" s="1">
        <v>2013</v>
      </c>
      <c r="B2" s="1" t="s">
        <v>5</v>
      </c>
      <c r="C2" s="2">
        <v>524283.45250000001</v>
      </c>
      <c r="D2" s="2">
        <v>537065.7415</v>
      </c>
      <c r="E2" s="1">
        <v>16095</v>
      </c>
      <c r="F2" s="22">
        <f>C2-D2</f>
        <v>-12782.28899999999</v>
      </c>
    </row>
    <row r="3" spans="1:6" ht="15.75" customHeight="1" x14ac:dyDescent="0.25">
      <c r="A3" s="1">
        <v>2014</v>
      </c>
      <c r="B3" s="1" t="s">
        <v>6</v>
      </c>
      <c r="C3" s="2">
        <v>4008180.4888699902</v>
      </c>
      <c r="D3" s="2">
        <v>3995719.84351</v>
      </c>
      <c r="E3" s="1">
        <v>119965</v>
      </c>
      <c r="F3" s="22">
        <f t="shared" ref="F3:F37" si="0">C3-D3</f>
        <v>12460.645359990187</v>
      </c>
    </row>
    <row r="4" spans="1:6" ht="15.75" customHeight="1" x14ac:dyDescent="0.25">
      <c r="A4" s="1">
        <v>2014</v>
      </c>
      <c r="B4" s="1" t="s">
        <v>7</v>
      </c>
      <c r="C4" s="2">
        <v>5780487.1753599998</v>
      </c>
      <c r="D4" s="2">
        <v>5913478.5608299999</v>
      </c>
      <c r="E4" s="1">
        <v>178035</v>
      </c>
      <c r="F4" s="22">
        <f t="shared" si="0"/>
        <v>-132991.3854700001</v>
      </c>
    </row>
    <row r="5" spans="1:6" ht="15.75" customHeight="1" x14ac:dyDescent="0.25">
      <c r="A5" s="1">
        <v>2014</v>
      </c>
      <c r="B5" s="1" t="s">
        <v>8</v>
      </c>
      <c r="C5" s="2">
        <v>8279517.1759399902</v>
      </c>
      <c r="D5" s="2">
        <v>8415654.0192499999</v>
      </c>
      <c r="E5" s="1">
        <v>252836</v>
      </c>
      <c r="F5" s="22">
        <f t="shared" si="0"/>
        <v>-136136.84331000969</v>
      </c>
    </row>
    <row r="6" spans="1:6" ht="15.75" customHeight="1" x14ac:dyDescent="0.25">
      <c r="A6" s="1">
        <v>2014</v>
      </c>
      <c r="B6" s="1" t="s">
        <v>9</v>
      </c>
      <c r="C6" s="2">
        <v>6435743.2740099998</v>
      </c>
      <c r="D6" s="2">
        <v>6479643.6251299996</v>
      </c>
      <c r="E6" s="1">
        <v>190091</v>
      </c>
      <c r="F6" s="22">
        <f t="shared" si="0"/>
        <v>-43900.351119999774</v>
      </c>
    </row>
    <row r="7" spans="1:6" ht="15.75" customHeight="1" x14ac:dyDescent="0.25">
      <c r="A7" s="1">
        <v>2014</v>
      </c>
      <c r="B7" s="1" t="s">
        <v>10</v>
      </c>
      <c r="C7" s="2">
        <v>7694906.1533899996</v>
      </c>
      <c r="D7" s="2">
        <v>8017240.4171599997</v>
      </c>
      <c r="E7" s="1">
        <v>235793</v>
      </c>
      <c r="F7" s="22">
        <f t="shared" si="0"/>
        <v>-322334.26377000008</v>
      </c>
    </row>
    <row r="8" spans="1:6" ht="15.75" customHeight="1" x14ac:dyDescent="0.25">
      <c r="A8" s="1">
        <v>2014</v>
      </c>
      <c r="B8" s="1" t="s">
        <v>11</v>
      </c>
      <c r="C8" s="2">
        <v>6456943.6466999901</v>
      </c>
      <c r="D8" s="2">
        <v>6645843.6568999998</v>
      </c>
      <c r="E8" s="1">
        <v>198857</v>
      </c>
      <c r="F8" s="22">
        <f t="shared" si="0"/>
        <v>-188900.01020000968</v>
      </c>
    </row>
    <row r="9" spans="1:6" ht="15.75" customHeight="1" x14ac:dyDescent="0.25">
      <c r="A9" s="1">
        <v>2014</v>
      </c>
      <c r="B9" s="1" t="s">
        <v>12</v>
      </c>
      <c r="C9" s="2">
        <v>4933710.8007300003</v>
      </c>
      <c r="D9" s="2">
        <v>5004894.9018700002</v>
      </c>
      <c r="E9" s="1">
        <v>147449</v>
      </c>
      <c r="F9" s="22">
        <f t="shared" si="0"/>
        <v>-71184.101139999926</v>
      </c>
    </row>
    <row r="10" spans="1:6" ht="15.75" customHeight="1" x14ac:dyDescent="0.25">
      <c r="A10" s="1">
        <v>2014</v>
      </c>
      <c r="B10" s="1" t="s">
        <v>13</v>
      </c>
      <c r="C10" s="2">
        <v>10010378.287799999</v>
      </c>
      <c r="D10" s="2">
        <v>10524432.4246499</v>
      </c>
      <c r="E10" s="1">
        <v>310572</v>
      </c>
      <c r="F10" s="22">
        <f t="shared" si="0"/>
        <v>-514054.13684990071</v>
      </c>
    </row>
    <row r="11" spans="1:6" ht="15.75" customHeight="1" x14ac:dyDescent="0.25">
      <c r="A11" s="1">
        <v>2014</v>
      </c>
      <c r="B11" s="1" t="s">
        <v>14</v>
      </c>
      <c r="C11" s="2">
        <v>7643452.6855800003</v>
      </c>
      <c r="D11" s="2">
        <v>8193560.0392699996</v>
      </c>
      <c r="E11" s="1">
        <v>237742</v>
      </c>
      <c r="F11" s="22">
        <f t="shared" si="0"/>
        <v>-550107.35368999932</v>
      </c>
    </row>
    <row r="12" spans="1:6" ht="15.75" customHeight="1" x14ac:dyDescent="0.25">
      <c r="A12" s="1">
        <v>2014</v>
      </c>
      <c r="B12" s="1" t="s">
        <v>15</v>
      </c>
      <c r="C12" s="2">
        <v>5924683.3811599901</v>
      </c>
      <c r="D12" s="2">
        <v>6038461.3173200004</v>
      </c>
      <c r="E12" s="1">
        <v>171709</v>
      </c>
      <c r="F12" s="22">
        <f t="shared" si="0"/>
        <v>-113777.93616001029</v>
      </c>
    </row>
    <row r="13" spans="1:6" ht="15.75" customHeight="1" x14ac:dyDescent="0.25">
      <c r="A13" s="1">
        <v>2014</v>
      </c>
      <c r="B13" s="1" t="s">
        <v>16</v>
      </c>
      <c r="C13" s="2">
        <v>2631353.3430300001</v>
      </c>
      <c r="D13" s="2">
        <v>2517124.8354500001</v>
      </c>
      <c r="E13" s="1">
        <v>68569</v>
      </c>
      <c r="F13" s="22">
        <f t="shared" si="0"/>
        <v>114228.50757999998</v>
      </c>
    </row>
    <row r="14" spans="1:6" ht="15.75" customHeight="1" x14ac:dyDescent="0.25">
      <c r="A14" s="1">
        <v>2014</v>
      </c>
      <c r="B14" s="1" t="s">
        <v>5</v>
      </c>
      <c r="C14" s="2">
        <v>5615619.2988600004</v>
      </c>
      <c r="D14" s="2">
        <v>5934796.0593599901</v>
      </c>
      <c r="E14" s="1">
        <v>142612</v>
      </c>
      <c r="F14" s="22">
        <f t="shared" si="0"/>
        <v>-319176.76049998961</v>
      </c>
    </row>
    <row r="15" spans="1:6" ht="15.75" customHeight="1" x14ac:dyDescent="0.25">
      <c r="A15" s="1">
        <v>2015</v>
      </c>
      <c r="B15" s="1" t="s">
        <v>6</v>
      </c>
      <c r="C15" s="2">
        <v>3696191.5080200001</v>
      </c>
      <c r="D15" s="2">
        <v>3851260.4665499898</v>
      </c>
      <c r="E15" s="1">
        <v>91740</v>
      </c>
      <c r="F15" s="22">
        <f t="shared" si="0"/>
        <v>-155068.9585299897</v>
      </c>
    </row>
    <row r="16" spans="1:6" ht="15.75" customHeight="1" x14ac:dyDescent="0.25">
      <c r="A16" s="1">
        <v>2015</v>
      </c>
      <c r="B16" s="1" t="s">
        <v>7</v>
      </c>
      <c r="C16" s="2">
        <v>4901504.8930199901</v>
      </c>
      <c r="D16" s="2">
        <v>5151756.26786</v>
      </c>
      <c r="E16" s="1">
        <v>127753</v>
      </c>
      <c r="F16" s="22">
        <f t="shared" si="0"/>
        <v>-250251.37484000996</v>
      </c>
    </row>
    <row r="17" spans="1:6" ht="15.75" customHeight="1" x14ac:dyDescent="0.25">
      <c r="A17" s="1">
        <v>2015</v>
      </c>
      <c r="B17" s="1" t="s">
        <v>8</v>
      </c>
      <c r="C17" s="2">
        <v>5269353.1525299996</v>
      </c>
      <c r="D17" s="2">
        <v>5599630.7203499898</v>
      </c>
      <c r="E17" s="1">
        <v>136673</v>
      </c>
      <c r="F17" s="22">
        <f t="shared" si="0"/>
        <v>-330277.56781999022</v>
      </c>
    </row>
    <row r="18" spans="1:6" ht="15.75" customHeight="1" x14ac:dyDescent="0.25">
      <c r="A18" s="1">
        <v>2015</v>
      </c>
      <c r="B18" s="1" t="s">
        <v>9</v>
      </c>
      <c r="C18" s="2">
        <v>5963993.9677100005</v>
      </c>
      <c r="D18" s="2">
        <v>6286673.6644399902</v>
      </c>
      <c r="E18" s="1">
        <v>153702</v>
      </c>
      <c r="F18" s="22">
        <f t="shared" si="0"/>
        <v>-322679.69672998972</v>
      </c>
    </row>
    <row r="19" spans="1:6" ht="15.75" customHeight="1" x14ac:dyDescent="0.25">
      <c r="A19" s="1">
        <v>2015</v>
      </c>
      <c r="B19" s="1" t="s">
        <v>10</v>
      </c>
      <c r="C19" s="2">
        <v>8384367.2411700003</v>
      </c>
      <c r="D19" s="2">
        <v>8973701.8985900003</v>
      </c>
      <c r="E19" s="1">
        <v>220775</v>
      </c>
      <c r="F19" s="22">
        <f t="shared" si="0"/>
        <v>-589334.65742000006</v>
      </c>
    </row>
    <row r="20" spans="1:6" ht="15.75" customHeight="1" x14ac:dyDescent="0.25">
      <c r="A20" s="1">
        <v>2015</v>
      </c>
      <c r="B20" s="1" t="s">
        <v>11</v>
      </c>
      <c r="C20" s="2">
        <v>5332108.3231999902</v>
      </c>
      <c r="D20" s="2">
        <v>5520925.3688500002</v>
      </c>
      <c r="E20" s="1">
        <v>136581</v>
      </c>
      <c r="F20" s="22">
        <f t="shared" si="0"/>
        <v>-188817.04565001</v>
      </c>
    </row>
    <row r="21" spans="1:6" ht="15.75" customHeight="1" x14ac:dyDescent="0.25">
      <c r="A21" s="1">
        <v>2015</v>
      </c>
      <c r="B21" s="1" t="s">
        <v>12</v>
      </c>
      <c r="C21" s="2">
        <v>3677692.3940099999</v>
      </c>
      <c r="D21" s="2">
        <v>3829188.5650899899</v>
      </c>
      <c r="E21" s="1">
        <v>95600</v>
      </c>
      <c r="F21" s="22">
        <f t="shared" si="0"/>
        <v>-151496.17107998999</v>
      </c>
    </row>
    <row r="22" spans="1:6" ht="15.75" customHeight="1" x14ac:dyDescent="0.25">
      <c r="A22" s="1">
        <v>2015</v>
      </c>
      <c r="B22" s="1" t="s">
        <v>13</v>
      </c>
      <c r="C22" s="2">
        <v>3934668.4082800001</v>
      </c>
      <c r="D22" s="2">
        <v>4210927.3350600004</v>
      </c>
      <c r="E22" s="1">
        <v>108899</v>
      </c>
      <c r="F22" s="22">
        <f t="shared" si="0"/>
        <v>-276258.92678000033</v>
      </c>
    </row>
    <row r="23" spans="1:6" ht="15.75" customHeight="1" x14ac:dyDescent="0.25">
      <c r="A23" s="1">
        <v>2015</v>
      </c>
      <c r="B23" s="1" t="s">
        <v>14</v>
      </c>
      <c r="C23" s="2">
        <v>4669899.8586899899</v>
      </c>
      <c r="D23" s="2">
        <v>5024494.6950000003</v>
      </c>
      <c r="E23" s="1">
        <v>134837</v>
      </c>
      <c r="F23" s="22">
        <f t="shared" si="0"/>
        <v>-354594.8363100104</v>
      </c>
    </row>
    <row r="24" spans="1:6" ht="15.75" customHeight="1" x14ac:dyDescent="0.25">
      <c r="A24" s="1">
        <v>2015</v>
      </c>
      <c r="B24" s="1" t="s">
        <v>15</v>
      </c>
      <c r="C24" s="2">
        <v>4828975.0796899898</v>
      </c>
      <c r="D24" s="2">
        <v>5175494.0774299996</v>
      </c>
      <c r="E24" s="1">
        <v>135328</v>
      </c>
      <c r="F24" s="22">
        <f t="shared" si="0"/>
        <v>-346518.9977400098</v>
      </c>
    </row>
    <row r="25" spans="1:6" ht="15.75" customHeight="1" x14ac:dyDescent="0.25">
      <c r="A25" s="1">
        <v>2015</v>
      </c>
      <c r="B25" s="1" t="s">
        <v>16</v>
      </c>
      <c r="C25" s="2">
        <v>6538148.88344</v>
      </c>
      <c r="D25" s="2">
        <v>7138833.4545799904</v>
      </c>
      <c r="E25" s="1">
        <v>185868</v>
      </c>
      <c r="F25" s="22">
        <f t="shared" si="0"/>
        <v>-600684.57113999035</v>
      </c>
    </row>
    <row r="26" spans="1:6" ht="15.75" customHeight="1" x14ac:dyDescent="0.25">
      <c r="A26" s="1">
        <v>2015</v>
      </c>
      <c r="B26" s="1" t="s">
        <v>5</v>
      </c>
      <c r="C26" s="2">
        <v>6820689.6777900001</v>
      </c>
      <c r="D26" s="2">
        <v>7154317.3203999996</v>
      </c>
      <c r="E26" s="1">
        <v>187333</v>
      </c>
      <c r="F26" s="22">
        <f t="shared" si="0"/>
        <v>-333627.64260999952</v>
      </c>
    </row>
    <row r="27" spans="1:6" ht="15.75" customHeight="1" x14ac:dyDescent="0.25">
      <c r="A27" s="1">
        <v>2016</v>
      </c>
      <c r="B27" s="1" t="s">
        <v>6</v>
      </c>
      <c r="C27" s="2">
        <v>5403090.5094699999</v>
      </c>
      <c r="D27" s="2">
        <v>5657342.71522999</v>
      </c>
      <c r="E27" s="1">
        <v>150561</v>
      </c>
      <c r="F27" s="22">
        <f t="shared" si="0"/>
        <v>-254252.20575999003</v>
      </c>
    </row>
    <row r="28" spans="1:6" ht="15.75" customHeight="1" x14ac:dyDescent="0.25">
      <c r="A28" s="1">
        <v>2016</v>
      </c>
      <c r="B28" s="1" t="s">
        <v>7</v>
      </c>
      <c r="C28" s="2">
        <v>4891882.30803</v>
      </c>
      <c r="D28" s="2">
        <v>4889303.64361999</v>
      </c>
      <c r="E28" s="1">
        <v>132990</v>
      </c>
      <c r="F28" s="22">
        <f t="shared" si="0"/>
        <v>2578.6644100099802</v>
      </c>
    </row>
    <row r="29" spans="1:6" ht="15.75" customHeight="1" x14ac:dyDescent="0.25">
      <c r="A29" s="1">
        <v>2016</v>
      </c>
      <c r="B29" s="1" t="s">
        <v>8</v>
      </c>
      <c r="C29" s="2">
        <v>2951856.0056699999</v>
      </c>
      <c r="D29" s="2">
        <v>2917801.4912899998</v>
      </c>
      <c r="E29" s="1">
        <v>74185</v>
      </c>
      <c r="F29" s="22">
        <f t="shared" si="0"/>
        <v>34054.514380000066</v>
      </c>
    </row>
    <row r="30" spans="1:6" ht="15.75" customHeight="1" x14ac:dyDescent="0.25">
      <c r="A30" s="1">
        <v>2016</v>
      </c>
      <c r="B30" s="1" t="s">
        <v>9</v>
      </c>
      <c r="C30" s="2">
        <v>6656880.1760200001</v>
      </c>
      <c r="D30" s="2">
        <v>7127731.9053100003</v>
      </c>
      <c r="E30" s="1">
        <v>190235</v>
      </c>
      <c r="F30" s="22">
        <f t="shared" si="0"/>
        <v>-470851.72929000016</v>
      </c>
    </row>
    <row r="31" spans="1:6" ht="15.75" customHeight="1" x14ac:dyDescent="0.25">
      <c r="A31" s="1">
        <v>2016</v>
      </c>
      <c r="B31" s="1" t="s">
        <v>10</v>
      </c>
      <c r="C31" s="2">
        <v>5170231.85506</v>
      </c>
      <c r="D31" s="2">
        <v>5338394.6319699902</v>
      </c>
      <c r="E31" s="1">
        <v>146298</v>
      </c>
      <c r="F31" s="22">
        <f t="shared" si="0"/>
        <v>-168162.77690999024</v>
      </c>
    </row>
    <row r="32" spans="1:6" ht="15.75" customHeight="1" x14ac:dyDescent="0.25">
      <c r="A32" s="1">
        <v>2016</v>
      </c>
      <c r="B32" s="1" t="s">
        <v>11</v>
      </c>
      <c r="C32" s="2">
        <v>6771134.9383199997</v>
      </c>
      <c r="D32" s="2">
        <v>7168349.6312199896</v>
      </c>
      <c r="E32" s="1">
        <v>197469</v>
      </c>
      <c r="F32" s="22">
        <f t="shared" si="0"/>
        <v>-397214.6928999899</v>
      </c>
    </row>
    <row r="33" spans="1:6" ht="15.75" customHeight="1" x14ac:dyDescent="0.25">
      <c r="A33" s="1">
        <v>2016</v>
      </c>
      <c r="B33" s="1" t="s">
        <v>12</v>
      </c>
      <c r="C33" s="2">
        <v>3324825.4316400001</v>
      </c>
      <c r="D33" s="2">
        <v>3268397.27251</v>
      </c>
      <c r="E33" s="1">
        <v>90653</v>
      </c>
      <c r="F33" s="22">
        <f t="shared" si="0"/>
        <v>56428.159130000044</v>
      </c>
    </row>
    <row r="34" spans="1:6" ht="15.75" customHeight="1" x14ac:dyDescent="0.25">
      <c r="A34" s="1">
        <v>2016</v>
      </c>
      <c r="B34" s="1" t="s">
        <v>13</v>
      </c>
      <c r="C34" s="2">
        <v>4343329.4138500001</v>
      </c>
      <c r="D34" s="2">
        <v>4479787.6551599996</v>
      </c>
      <c r="E34" s="1">
        <v>123621</v>
      </c>
      <c r="F34" s="22">
        <f t="shared" si="0"/>
        <v>-136458.24130999949</v>
      </c>
    </row>
    <row r="35" spans="1:6" ht="13.2" x14ac:dyDescent="0.25">
      <c r="A35" s="1">
        <v>2016</v>
      </c>
      <c r="B35" s="1" t="s">
        <v>14</v>
      </c>
      <c r="C35" s="2">
        <v>3259542.50177</v>
      </c>
      <c r="D35" s="2">
        <v>3210197.2874699999</v>
      </c>
      <c r="E35" s="1">
        <v>88672</v>
      </c>
      <c r="F35" s="22">
        <f t="shared" si="0"/>
        <v>49345.214300000109</v>
      </c>
    </row>
    <row r="36" spans="1:6" ht="13.2" x14ac:dyDescent="0.25">
      <c r="A36" s="1">
        <v>2016</v>
      </c>
      <c r="B36" s="1" t="s">
        <v>15</v>
      </c>
      <c r="C36" s="2">
        <v>2329172.7028399999</v>
      </c>
      <c r="D36" s="2">
        <v>2109211.0578299998</v>
      </c>
      <c r="E36" s="1">
        <v>56667</v>
      </c>
      <c r="F36" s="22">
        <f t="shared" si="0"/>
        <v>219961.64501000009</v>
      </c>
    </row>
    <row r="37" spans="1:6" ht="13.2" x14ac:dyDescent="0.25">
      <c r="A37" s="1">
        <v>2016</v>
      </c>
      <c r="B37" s="1" t="s">
        <v>16</v>
      </c>
      <c r="C37" s="2">
        <v>1851029.8627299999</v>
      </c>
      <c r="D37" s="2">
        <v>1724472.87827</v>
      </c>
      <c r="E37" s="1">
        <v>43107</v>
      </c>
      <c r="F37" s="22">
        <f t="shared" si="0"/>
        <v>126556.98445999995</v>
      </c>
    </row>
    <row r="38" spans="1:6" ht="13.2" x14ac:dyDescent="0.25">
      <c r="C38" s="2"/>
      <c r="D38" s="2"/>
    </row>
    <row r="39" spans="1:6" ht="13.2" x14ac:dyDescent="0.25">
      <c r="C39" s="2"/>
      <c r="D39" s="2"/>
    </row>
    <row r="40" spans="1:6" ht="13.2" x14ac:dyDescent="0.25">
      <c r="C40" s="2"/>
      <c r="D40" s="2"/>
    </row>
    <row r="41" spans="1:6" ht="13.2" x14ac:dyDescent="0.25">
      <c r="C41" s="2"/>
      <c r="D41" s="2"/>
    </row>
    <row r="42" spans="1:6" ht="13.2" x14ac:dyDescent="0.25">
      <c r="C42" s="2"/>
      <c r="D42" s="2"/>
    </row>
    <row r="43" spans="1:6" ht="13.2" x14ac:dyDescent="0.25">
      <c r="C43" s="2"/>
      <c r="D43" s="2"/>
    </row>
    <row r="44" spans="1:6" ht="13.2" x14ac:dyDescent="0.25">
      <c r="C44" s="2"/>
      <c r="D44" s="2"/>
    </row>
    <row r="45" spans="1:6" ht="13.2" x14ac:dyDescent="0.25">
      <c r="C45" s="2"/>
      <c r="D45" s="2"/>
    </row>
    <row r="46" spans="1:6" ht="13.2" x14ac:dyDescent="0.25">
      <c r="C46" s="2"/>
      <c r="D46" s="2"/>
    </row>
    <row r="47" spans="1:6" ht="13.2" x14ac:dyDescent="0.25">
      <c r="C47" s="2"/>
      <c r="D47" s="2"/>
    </row>
    <row r="48" spans="1:6" ht="13.2" x14ac:dyDescent="0.25">
      <c r="C48" s="2"/>
      <c r="D48" s="2"/>
    </row>
    <row r="49" spans="3:4" ht="13.2" x14ac:dyDescent="0.25">
      <c r="C49" s="2"/>
      <c r="D49" s="2"/>
    </row>
    <row r="50" spans="3:4" ht="13.2" x14ac:dyDescent="0.25">
      <c r="C50" s="2"/>
      <c r="D50" s="2"/>
    </row>
    <row r="51" spans="3:4" ht="13.2" x14ac:dyDescent="0.25">
      <c r="C51" s="2"/>
      <c r="D51" s="2"/>
    </row>
    <row r="52" spans="3:4" ht="13.2" x14ac:dyDescent="0.25">
      <c r="C52" s="2"/>
      <c r="D52" s="2"/>
    </row>
    <row r="53" spans="3:4" ht="13.2" x14ac:dyDescent="0.25">
      <c r="C53" s="2"/>
      <c r="D53" s="2"/>
    </row>
    <row r="54" spans="3:4" ht="13.2" x14ac:dyDescent="0.25">
      <c r="C54" s="2"/>
      <c r="D54" s="2"/>
    </row>
    <row r="55" spans="3:4" ht="13.2" x14ac:dyDescent="0.25">
      <c r="C55" s="2"/>
      <c r="D55" s="2"/>
    </row>
    <row r="56" spans="3:4" ht="13.2" x14ac:dyDescent="0.25">
      <c r="C56" s="2"/>
      <c r="D56" s="2"/>
    </row>
    <row r="57" spans="3:4" ht="13.2" x14ac:dyDescent="0.25">
      <c r="C57" s="2"/>
      <c r="D57" s="2"/>
    </row>
    <row r="58" spans="3:4" ht="13.2" x14ac:dyDescent="0.25">
      <c r="C58" s="2"/>
      <c r="D58" s="2"/>
    </row>
    <row r="59" spans="3:4" ht="13.2" x14ac:dyDescent="0.25">
      <c r="C59" s="2"/>
      <c r="D59" s="2"/>
    </row>
    <row r="60" spans="3:4" ht="13.2" x14ac:dyDescent="0.25">
      <c r="C60" s="2"/>
      <c r="D60" s="2"/>
    </row>
    <row r="61" spans="3:4" ht="13.2" x14ac:dyDescent="0.25">
      <c r="C61" s="2"/>
      <c r="D61" s="2"/>
    </row>
    <row r="62" spans="3:4" ht="13.2" x14ac:dyDescent="0.25">
      <c r="C62" s="2"/>
      <c r="D62" s="2"/>
    </row>
    <row r="63" spans="3:4" ht="13.2" x14ac:dyDescent="0.25">
      <c r="C63" s="2"/>
      <c r="D63" s="2"/>
    </row>
    <row r="64" spans="3:4" ht="13.2" x14ac:dyDescent="0.25">
      <c r="C64" s="2"/>
      <c r="D64" s="2"/>
    </row>
    <row r="65" spans="3:4" ht="13.2" x14ac:dyDescent="0.25">
      <c r="C65" s="2"/>
      <c r="D65" s="2"/>
    </row>
    <row r="66" spans="3:4" ht="13.2" x14ac:dyDescent="0.25">
      <c r="C66" s="2"/>
      <c r="D66" s="2"/>
    </row>
    <row r="67" spans="3:4" ht="13.2" x14ac:dyDescent="0.25">
      <c r="C67" s="2"/>
      <c r="D67" s="2"/>
    </row>
    <row r="68" spans="3:4" ht="13.2" x14ac:dyDescent="0.25">
      <c r="C68" s="2"/>
      <c r="D68" s="2"/>
    </row>
    <row r="69" spans="3:4" ht="13.2" x14ac:dyDescent="0.25">
      <c r="C69" s="2"/>
      <c r="D69" s="2"/>
    </row>
    <row r="70" spans="3:4" ht="13.2" x14ac:dyDescent="0.25">
      <c r="C70" s="2"/>
      <c r="D70" s="2"/>
    </row>
    <row r="71" spans="3:4" ht="13.2" x14ac:dyDescent="0.25">
      <c r="C71" s="2"/>
      <c r="D71" s="2"/>
    </row>
    <row r="72" spans="3:4" ht="13.2" x14ac:dyDescent="0.25">
      <c r="C72" s="2"/>
      <c r="D72" s="2"/>
    </row>
    <row r="73" spans="3:4" ht="13.2" x14ac:dyDescent="0.25">
      <c r="C73" s="2"/>
      <c r="D73" s="2"/>
    </row>
    <row r="74" spans="3:4" ht="13.2" x14ac:dyDescent="0.25">
      <c r="C74" s="2"/>
      <c r="D74" s="2"/>
    </row>
    <row r="75" spans="3:4" ht="13.2" x14ac:dyDescent="0.25">
      <c r="C75" s="2"/>
      <c r="D75" s="2"/>
    </row>
    <row r="76" spans="3:4" ht="13.2" x14ac:dyDescent="0.25">
      <c r="C76" s="2"/>
      <c r="D76" s="2"/>
    </row>
    <row r="77" spans="3:4" ht="13.2" x14ac:dyDescent="0.25">
      <c r="C77" s="2"/>
      <c r="D77" s="2"/>
    </row>
    <row r="78" spans="3:4" ht="13.2" x14ac:dyDescent="0.25">
      <c r="C78" s="2"/>
      <c r="D78" s="2"/>
    </row>
    <row r="79" spans="3:4" ht="13.2" x14ac:dyDescent="0.25">
      <c r="C79" s="2"/>
      <c r="D79" s="2"/>
    </row>
    <row r="80" spans="3:4" ht="13.2" x14ac:dyDescent="0.25">
      <c r="C80" s="2"/>
      <c r="D80" s="2"/>
    </row>
    <row r="81" spans="3:4" ht="13.2" x14ac:dyDescent="0.25">
      <c r="C81" s="2"/>
      <c r="D81" s="2"/>
    </row>
    <row r="82" spans="3:4" ht="13.2" x14ac:dyDescent="0.25">
      <c r="C82" s="2"/>
      <c r="D82" s="2"/>
    </row>
    <row r="83" spans="3:4" ht="13.2" x14ac:dyDescent="0.25">
      <c r="C83" s="2"/>
      <c r="D83" s="2"/>
    </row>
    <row r="84" spans="3:4" ht="13.2" x14ac:dyDescent="0.25">
      <c r="C84" s="2"/>
      <c r="D84" s="2"/>
    </row>
    <row r="85" spans="3:4" ht="13.2" x14ac:dyDescent="0.25">
      <c r="C85" s="2"/>
      <c r="D85" s="2"/>
    </row>
    <row r="86" spans="3:4" ht="13.2" x14ac:dyDescent="0.25">
      <c r="C86" s="2"/>
      <c r="D86" s="2"/>
    </row>
    <row r="87" spans="3:4" ht="13.2" x14ac:dyDescent="0.25">
      <c r="C87" s="2"/>
      <c r="D87" s="2"/>
    </row>
    <row r="88" spans="3:4" ht="13.2" x14ac:dyDescent="0.25">
      <c r="C88" s="2"/>
      <c r="D88" s="2"/>
    </row>
    <row r="89" spans="3:4" ht="13.2" x14ac:dyDescent="0.25">
      <c r="C89" s="2"/>
      <c r="D89" s="2"/>
    </row>
    <row r="90" spans="3:4" ht="13.2" x14ac:dyDescent="0.25">
      <c r="C90" s="2"/>
      <c r="D90" s="2"/>
    </row>
    <row r="91" spans="3:4" ht="13.2" x14ac:dyDescent="0.25">
      <c r="C91" s="2"/>
      <c r="D91" s="2"/>
    </row>
    <row r="92" spans="3:4" ht="13.2" x14ac:dyDescent="0.25">
      <c r="C92" s="2"/>
      <c r="D92" s="2"/>
    </row>
    <row r="93" spans="3:4" ht="13.2" x14ac:dyDescent="0.25">
      <c r="C93" s="2"/>
      <c r="D93" s="2"/>
    </row>
    <row r="94" spans="3:4" ht="13.2" x14ac:dyDescent="0.25">
      <c r="C94" s="2"/>
      <c r="D94" s="2"/>
    </row>
    <row r="95" spans="3:4" ht="13.2" x14ac:dyDescent="0.25">
      <c r="C95" s="2"/>
      <c r="D95" s="2"/>
    </row>
    <row r="96" spans="3:4" ht="13.2" x14ac:dyDescent="0.25">
      <c r="C96" s="2"/>
      <c r="D96" s="2"/>
    </row>
    <row r="97" spans="3:4" ht="13.2" x14ac:dyDescent="0.25">
      <c r="C97" s="2"/>
      <c r="D97" s="2"/>
    </row>
    <row r="98" spans="3:4" ht="13.2" x14ac:dyDescent="0.25">
      <c r="C98" s="2"/>
      <c r="D98" s="2"/>
    </row>
    <row r="99" spans="3:4" ht="13.2" x14ac:dyDescent="0.25">
      <c r="C99" s="2"/>
      <c r="D99" s="2"/>
    </row>
    <row r="100" spans="3:4" ht="13.2" x14ac:dyDescent="0.25">
      <c r="C100" s="2"/>
      <c r="D100" s="2"/>
    </row>
    <row r="101" spans="3:4" ht="13.2" x14ac:dyDescent="0.25">
      <c r="C101" s="2"/>
      <c r="D101" s="2"/>
    </row>
    <row r="102" spans="3:4" ht="13.2" x14ac:dyDescent="0.25">
      <c r="C102" s="2"/>
      <c r="D102" s="2"/>
    </row>
    <row r="103" spans="3:4" ht="13.2" x14ac:dyDescent="0.25">
      <c r="C103" s="2"/>
      <c r="D103" s="2"/>
    </row>
    <row r="104" spans="3:4" ht="13.2" x14ac:dyDescent="0.25">
      <c r="C104" s="2"/>
      <c r="D104" s="2"/>
    </row>
    <row r="105" spans="3:4" ht="13.2" x14ac:dyDescent="0.25">
      <c r="C105" s="2"/>
      <c r="D105" s="2"/>
    </row>
    <row r="106" spans="3:4" ht="13.2" x14ac:dyDescent="0.25">
      <c r="C106" s="2"/>
      <c r="D106" s="2"/>
    </row>
    <row r="107" spans="3:4" ht="13.2" x14ac:dyDescent="0.25">
      <c r="C107" s="2"/>
      <c r="D107" s="2"/>
    </row>
    <row r="108" spans="3:4" ht="13.2" x14ac:dyDescent="0.25">
      <c r="C108" s="2"/>
      <c r="D108" s="2"/>
    </row>
    <row r="109" spans="3:4" ht="13.2" x14ac:dyDescent="0.25">
      <c r="C109" s="2"/>
      <c r="D109" s="2"/>
    </row>
    <row r="110" spans="3:4" ht="13.2" x14ac:dyDescent="0.25">
      <c r="C110" s="2"/>
      <c r="D110" s="2"/>
    </row>
    <row r="111" spans="3:4" ht="13.2" x14ac:dyDescent="0.25">
      <c r="C111" s="2"/>
      <c r="D111" s="2"/>
    </row>
    <row r="112" spans="3:4" ht="13.2" x14ac:dyDescent="0.25">
      <c r="C112" s="2"/>
      <c r="D112" s="2"/>
    </row>
    <row r="113" spans="3:4" ht="13.2" x14ac:dyDescent="0.25">
      <c r="C113" s="2"/>
      <c r="D113" s="2"/>
    </row>
    <row r="114" spans="3:4" ht="13.2" x14ac:dyDescent="0.25">
      <c r="C114" s="2"/>
      <c r="D114" s="2"/>
    </row>
    <row r="115" spans="3:4" ht="13.2" x14ac:dyDescent="0.25">
      <c r="C115" s="2"/>
      <c r="D115" s="2"/>
    </row>
    <row r="116" spans="3:4" ht="13.2" x14ac:dyDescent="0.25">
      <c r="C116" s="2"/>
      <c r="D116" s="2"/>
    </row>
    <row r="117" spans="3:4" ht="13.2" x14ac:dyDescent="0.25">
      <c r="C117" s="2"/>
      <c r="D117" s="2"/>
    </row>
    <row r="118" spans="3:4" ht="13.2" x14ac:dyDescent="0.25">
      <c r="C118" s="2"/>
      <c r="D118" s="2"/>
    </row>
    <row r="119" spans="3:4" ht="13.2" x14ac:dyDescent="0.25">
      <c r="C119" s="2"/>
      <c r="D119" s="2"/>
    </row>
    <row r="120" spans="3:4" ht="13.2" x14ac:dyDescent="0.25">
      <c r="C120" s="2"/>
      <c r="D120" s="2"/>
    </row>
    <row r="121" spans="3:4" ht="13.2" x14ac:dyDescent="0.25">
      <c r="C121" s="2"/>
      <c r="D121" s="2"/>
    </row>
    <row r="122" spans="3:4" ht="13.2" x14ac:dyDescent="0.25">
      <c r="C122" s="2"/>
      <c r="D122" s="2"/>
    </row>
    <row r="123" spans="3:4" ht="13.2" x14ac:dyDescent="0.25">
      <c r="C123" s="2"/>
      <c r="D123" s="2"/>
    </row>
    <row r="124" spans="3:4" ht="13.2" x14ac:dyDescent="0.25">
      <c r="C124" s="2"/>
      <c r="D124" s="2"/>
    </row>
    <row r="125" spans="3:4" ht="13.2" x14ac:dyDescent="0.25">
      <c r="C125" s="2"/>
      <c r="D125" s="2"/>
    </row>
    <row r="126" spans="3:4" ht="13.2" x14ac:dyDescent="0.25">
      <c r="C126" s="2"/>
      <c r="D126" s="2"/>
    </row>
    <row r="127" spans="3:4" ht="13.2" x14ac:dyDescent="0.25">
      <c r="C127" s="2"/>
      <c r="D127" s="2"/>
    </row>
    <row r="128" spans="3:4" ht="13.2" x14ac:dyDescent="0.25">
      <c r="C128" s="2"/>
      <c r="D128" s="2"/>
    </row>
    <row r="129" spans="3:4" ht="13.2" x14ac:dyDescent="0.25">
      <c r="C129" s="2"/>
      <c r="D129" s="2"/>
    </row>
    <row r="130" spans="3:4" ht="13.2" x14ac:dyDescent="0.25">
      <c r="C130" s="2"/>
      <c r="D130" s="2"/>
    </row>
    <row r="131" spans="3:4" ht="13.2" x14ac:dyDescent="0.25">
      <c r="C131" s="2"/>
      <c r="D131" s="2"/>
    </row>
    <row r="132" spans="3:4" ht="13.2" x14ac:dyDescent="0.25">
      <c r="C132" s="2"/>
      <c r="D132" s="2"/>
    </row>
    <row r="133" spans="3:4" ht="13.2" x14ac:dyDescent="0.25">
      <c r="C133" s="2"/>
      <c r="D133" s="2"/>
    </row>
    <row r="134" spans="3:4" ht="13.2" x14ac:dyDescent="0.25">
      <c r="C134" s="2"/>
      <c r="D134" s="2"/>
    </row>
    <row r="135" spans="3:4" ht="13.2" x14ac:dyDescent="0.25">
      <c r="C135" s="2"/>
      <c r="D135" s="2"/>
    </row>
    <row r="136" spans="3:4" ht="13.2" x14ac:dyDescent="0.25">
      <c r="C136" s="2"/>
      <c r="D136" s="2"/>
    </row>
    <row r="137" spans="3:4" ht="13.2" x14ac:dyDescent="0.25">
      <c r="C137" s="2"/>
      <c r="D137" s="2"/>
    </row>
    <row r="138" spans="3:4" ht="13.2" x14ac:dyDescent="0.25">
      <c r="C138" s="2"/>
      <c r="D138" s="2"/>
    </row>
    <row r="139" spans="3:4" ht="13.2" x14ac:dyDescent="0.25">
      <c r="C139" s="2"/>
      <c r="D139" s="2"/>
    </row>
    <row r="140" spans="3:4" ht="13.2" x14ac:dyDescent="0.25">
      <c r="C140" s="2"/>
      <c r="D140" s="2"/>
    </row>
    <row r="141" spans="3:4" ht="13.2" x14ac:dyDescent="0.25">
      <c r="C141" s="2"/>
      <c r="D141" s="2"/>
    </row>
    <row r="142" spans="3:4" ht="13.2" x14ac:dyDescent="0.25">
      <c r="C142" s="2"/>
      <c r="D142" s="2"/>
    </row>
    <row r="143" spans="3:4" ht="13.2" x14ac:dyDescent="0.25">
      <c r="C143" s="2"/>
      <c r="D143" s="2"/>
    </row>
    <row r="144" spans="3:4" ht="13.2" x14ac:dyDescent="0.25">
      <c r="C144" s="2"/>
      <c r="D144" s="2"/>
    </row>
    <row r="145" spans="3:4" ht="13.2" x14ac:dyDescent="0.25">
      <c r="C145" s="2"/>
      <c r="D145" s="2"/>
    </row>
    <row r="146" spans="3:4" ht="13.2" x14ac:dyDescent="0.25">
      <c r="C146" s="2"/>
      <c r="D146" s="2"/>
    </row>
    <row r="147" spans="3:4" ht="13.2" x14ac:dyDescent="0.25">
      <c r="C147" s="2"/>
      <c r="D147" s="2"/>
    </row>
    <row r="148" spans="3:4" ht="13.2" x14ac:dyDescent="0.25">
      <c r="C148" s="2"/>
      <c r="D148" s="2"/>
    </row>
    <row r="149" spans="3:4" ht="13.2" x14ac:dyDescent="0.25">
      <c r="C149" s="2"/>
      <c r="D149" s="2"/>
    </row>
    <row r="150" spans="3:4" ht="13.2" x14ac:dyDescent="0.25">
      <c r="C150" s="2"/>
      <c r="D150" s="2"/>
    </row>
    <row r="151" spans="3:4" ht="13.2" x14ac:dyDescent="0.25">
      <c r="C151" s="2"/>
      <c r="D151" s="2"/>
    </row>
    <row r="152" spans="3:4" ht="13.2" x14ac:dyDescent="0.25">
      <c r="C152" s="2"/>
      <c r="D152" s="2"/>
    </row>
    <row r="153" spans="3:4" ht="13.2" x14ac:dyDescent="0.25">
      <c r="C153" s="2"/>
      <c r="D153" s="2"/>
    </row>
    <row r="154" spans="3:4" ht="13.2" x14ac:dyDescent="0.25">
      <c r="C154" s="2"/>
      <c r="D154" s="2"/>
    </row>
    <row r="155" spans="3:4" ht="13.2" x14ac:dyDescent="0.25">
      <c r="C155" s="2"/>
      <c r="D155" s="2"/>
    </row>
    <row r="156" spans="3:4" ht="13.2" x14ac:dyDescent="0.25">
      <c r="C156" s="2"/>
      <c r="D156" s="2"/>
    </row>
    <row r="157" spans="3:4" ht="13.2" x14ac:dyDescent="0.25">
      <c r="C157" s="2"/>
      <c r="D157" s="2"/>
    </row>
    <row r="158" spans="3:4" ht="13.2" x14ac:dyDescent="0.25">
      <c r="C158" s="2"/>
      <c r="D158" s="2"/>
    </row>
    <row r="159" spans="3:4" ht="13.2" x14ac:dyDescent="0.25">
      <c r="C159" s="2"/>
      <c r="D159" s="2"/>
    </row>
    <row r="160" spans="3:4" ht="13.2" x14ac:dyDescent="0.25">
      <c r="C160" s="2"/>
      <c r="D160" s="2"/>
    </row>
    <row r="161" spans="3:4" ht="13.2" x14ac:dyDescent="0.25">
      <c r="C161" s="2"/>
      <c r="D161" s="2"/>
    </row>
    <row r="162" spans="3:4" ht="13.2" x14ac:dyDescent="0.25">
      <c r="C162" s="2"/>
      <c r="D162" s="2"/>
    </row>
    <row r="163" spans="3:4" ht="13.2" x14ac:dyDescent="0.25">
      <c r="C163" s="2"/>
      <c r="D163" s="2"/>
    </row>
    <row r="164" spans="3:4" ht="13.2" x14ac:dyDescent="0.25">
      <c r="C164" s="2"/>
      <c r="D164" s="2"/>
    </row>
    <row r="165" spans="3:4" ht="13.2" x14ac:dyDescent="0.25">
      <c r="C165" s="2"/>
      <c r="D165" s="2"/>
    </row>
    <row r="166" spans="3:4" ht="13.2" x14ac:dyDescent="0.25">
      <c r="C166" s="2"/>
      <c r="D166" s="2"/>
    </row>
    <row r="167" spans="3:4" ht="13.2" x14ac:dyDescent="0.25">
      <c r="C167" s="2"/>
      <c r="D167" s="2"/>
    </row>
    <row r="168" spans="3:4" ht="13.2" x14ac:dyDescent="0.25">
      <c r="C168" s="2"/>
      <c r="D168" s="2"/>
    </row>
    <row r="169" spans="3:4" ht="13.2" x14ac:dyDescent="0.25">
      <c r="C169" s="2"/>
      <c r="D169" s="2"/>
    </row>
    <row r="170" spans="3:4" ht="13.2" x14ac:dyDescent="0.25">
      <c r="C170" s="2"/>
      <c r="D170" s="2"/>
    </row>
    <row r="171" spans="3:4" ht="13.2" x14ac:dyDescent="0.25">
      <c r="C171" s="2"/>
      <c r="D171" s="2"/>
    </row>
    <row r="172" spans="3:4" ht="13.2" x14ac:dyDescent="0.25">
      <c r="C172" s="2"/>
      <c r="D172" s="2"/>
    </row>
    <row r="173" spans="3:4" ht="13.2" x14ac:dyDescent="0.25">
      <c r="C173" s="2"/>
      <c r="D173" s="2"/>
    </row>
    <row r="174" spans="3:4" ht="13.2" x14ac:dyDescent="0.25">
      <c r="C174" s="2"/>
      <c r="D174" s="2"/>
    </row>
    <row r="175" spans="3:4" ht="13.2" x14ac:dyDescent="0.25">
      <c r="C175" s="2"/>
      <c r="D175" s="2"/>
    </row>
    <row r="176" spans="3:4" ht="13.2" x14ac:dyDescent="0.25">
      <c r="C176" s="2"/>
      <c r="D176" s="2"/>
    </row>
    <row r="177" spans="3:4" ht="13.2" x14ac:dyDescent="0.25">
      <c r="C177" s="2"/>
      <c r="D177" s="2"/>
    </row>
    <row r="178" spans="3:4" ht="13.2" x14ac:dyDescent="0.25">
      <c r="C178" s="2"/>
      <c r="D178" s="2"/>
    </row>
    <row r="179" spans="3:4" ht="13.2" x14ac:dyDescent="0.25">
      <c r="C179" s="2"/>
      <c r="D179" s="2"/>
    </row>
    <row r="180" spans="3:4" ht="13.2" x14ac:dyDescent="0.25">
      <c r="C180" s="2"/>
      <c r="D180" s="2"/>
    </row>
    <row r="181" spans="3:4" ht="13.2" x14ac:dyDescent="0.25">
      <c r="C181" s="2"/>
      <c r="D181" s="2"/>
    </row>
    <row r="182" spans="3:4" ht="13.2" x14ac:dyDescent="0.25">
      <c r="C182" s="2"/>
      <c r="D182" s="2"/>
    </row>
    <row r="183" spans="3:4" ht="13.2" x14ac:dyDescent="0.25">
      <c r="C183" s="2"/>
      <c r="D183" s="2"/>
    </row>
    <row r="184" spans="3:4" ht="13.2" x14ac:dyDescent="0.25">
      <c r="C184" s="2"/>
      <c r="D184" s="2"/>
    </row>
    <row r="185" spans="3:4" ht="13.2" x14ac:dyDescent="0.25">
      <c r="C185" s="2"/>
      <c r="D185" s="2"/>
    </row>
    <row r="186" spans="3:4" ht="13.2" x14ac:dyDescent="0.25">
      <c r="C186" s="2"/>
      <c r="D186" s="2"/>
    </row>
    <row r="187" spans="3:4" ht="13.2" x14ac:dyDescent="0.25">
      <c r="C187" s="2"/>
      <c r="D187" s="2"/>
    </row>
    <row r="188" spans="3:4" ht="13.2" x14ac:dyDescent="0.25">
      <c r="C188" s="2"/>
      <c r="D188" s="2"/>
    </row>
    <row r="189" spans="3:4" ht="13.2" x14ac:dyDescent="0.25">
      <c r="C189" s="2"/>
      <c r="D189" s="2"/>
    </row>
    <row r="190" spans="3:4" ht="13.2" x14ac:dyDescent="0.25">
      <c r="C190" s="2"/>
      <c r="D190" s="2"/>
    </row>
    <row r="191" spans="3:4" ht="13.2" x14ac:dyDescent="0.25">
      <c r="C191" s="2"/>
      <c r="D191" s="2"/>
    </row>
    <row r="192" spans="3:4" ht="13.2" x14ac:dyDescent="0.25">
      <c r="C192" s="2"/>
      <c r="D192" s="2"/>
    </row>
    <row r="193" spans="3:4" ht="13.2" x14ac:dyDescent="0.25">
      <c r="C193" s="2"/>
      <c r="D193" s="2"/>
    </row>
    <row r="194" spans="3:4" ht="13.2" x14ac:dyDescent="0.25">
      <c r="C194" s="2"/>
      <c r="D194" s="2"/>
    </row>
    <row r="195" spans="3:4" ht="13.2" x14ac:dyDescent="0.25">
      <c r="C195" s="2"/>
      <c r="D195" s="2"/>
    </row>
    <row r="196" spans="3:4" ht="13.2" x14ac:dyDescent="0.25">
      <c r="C196" s="2"/>
      <c r="D196" s="2"/>
    </row>
    <row r="197" spans="3:4" ht="13.2" x14ac:dyDescent="0.25">
      <c r="C197" s="2"/>
      <c r="D197" s="2"/>
    </row>
    <row r="198" spans="3:4" ht="13.2" x14ac:dyDescent="0.25">
      <c r="C198" s="2"/>
      <c r="D198" s="2"/>
    </row>
    <row r="199" spans="3:4" ht="13.2" x14ac:dyDescent="0.25">
      <c r="C199" s="2"/>
      <c r="D199" s="2"/>
    </row>
    <row r="200" spans="3:4" ht="13.2" x14ac:dyDescent="0.25">
      <c r="C200" s="2"/>
      <c r="D200" s="2"/>
    </row>
    <row r="201" spans="3:4" ht="13.2" x14ac:dyDescent="0.25">
      <c r="C201" s="2"/>
      <c r="D201" s="2"/>
    </row>
    <row r="202" spans="3:4" ht="13.2" x14ac:dyDescent="0.25">
      <c r="C202" s="2"/>
      <c r="D202" s="2"/>
    </row>
    <row r="203" spans="3:4" ht="13.2" x14ac:dyDescent="0.25">
      <c r="C203" s="2"/>
      <c r="D203" s="2"/>
    </row>
    <row r="204" spans="3:4" ht="13.2" x14ac:dyDescent="0.25">
      <c r="C204" s="2"/>
      <c r="D204" s="2"/>
    </row>
    <row r="205" spans="3:4" ht="13.2" x14ac:dyDescent="0.25">
      <c r="C205" s="2"/>
      <c r="D205" s="2"/>
    </row>
    <row r="206" spans="3:4" ht="13.2" x14ac:dyDescent="0.25">
      <c r="C206" s="2"/>
      <c r="D206" s="2"/>
    </row>
    <row r="207" spans="3:4" ht="13.2" x14ac:dyDescent="0.25">
      <c r="C207" s="2"/>
      <c r="D207" s="2"/>
    </row>
    <row r="208" spans="3:4" ht="13.2" x14ac:dyDescent="0.25">
      <c r="C208" s="2"/>
      <c r="D208" s="2"/>
    </row>
    <row r="209" spans="3:4" ht="13.2" x14ac:dyDescent="0.25">
      <c r="C209" s="2"/>
      <c r="D209" s="2"/>
    </row>
    <row r="210" spans="3:4" ht="13.2" x14ac:dyDescent="0.25">
      <c r="C210" s="2"/>
      <c r="D210" s="2"/>
    </row>
    <row r="211" spans="3:4" ht="13.2" x14ac:dyDescent="0.25">
      <c r="C211" s="2"/>
      <c r="D211" s="2"/>
    </row>
    <row r="212" spans="3:4" ht="13.2" x14ac:dyDescent="0.25">
      <c r="C212" s="2"/>
      <c r="D212" s="2"/>
    </row>
    <row r="213" spans="3:4" ht="13.2" x14ac:dyDescent="0.25">
      <c r="C213" s="2"/>
      <c r="D213" s="2"/>
    </row>
    <row r="214" spans="3:4" ht="13.2" x14ac:dyDescent="0.25">
      <c r="C214" s="2"/>
      <c r="D214" s="2"/>
    </row>
    <row r="215" spans="3:4" ht="13.2" x14ac:dyDescent="0.25">
      <c r="C215" s="2"/>
      <c r="D215" s="2"/>
    </row>
    <row r="216" spans="3:4" ht="13.2" x14ac:dyDescent="0.25">
      <c r="C216" s="2"/>
      <c r="D216" s="2"/>
    </row>
    <row r="217" spans="3:4" ht="13.2" x14ac:dyDescent="0.25">
      <c r="C217" s="2"/>
      <c r="D217" s="2"/>
    </row>
    <row r="218" spans="3:4" ht="13.2" x14ac:dyDescent="0.25">
      <c r="C218" s="2"/>
      <c r="D218" s="2"/>
    </row>
    <row r="219" spans="3:4" ht="13.2" x14ac:dyDescent="0.25">
      <c r="C219" s="2"/>
      <c r="D219" s="2"/>
    </row>
    <row r="220" spans="3:4" ht="13.2" x14ac:dyDescent="0.25">
      <c r="C220" s="2"/>
      <c r="D220" s="2"/>
    </row>
    <row r="221" spans="3:4" ht="13.2" x14ac:dyDescent="0.25">
      <c r="C221" s="2"/>
      <c r="D221" s="2"/>
    </row>
    <row r="222" spans="3:4" ht="13.2" x14ac:dyDescent="0.25">
      <c r="C222" s="2"/>
      <c r="D222" s="2"/>
    </row>
    <row r="223" spans="3:4" ht="13.2" x14ac:dyDescent="0.25">
      <c r="C223" s="2"/>
      <c r="D223" s="2"/>
    </row>
    <row r="224" spans="3:4" ht="13.2" x14ac:dyDescent="0.25">
      <c r="C224" s="2"/>
      <c r="D224" s="2"/>
    </row>
    <row r="225" spans="3:4" ht="13.2" x14ac:dyDescent="0.25">
      <c r="C225" s="2"/>
      <c r="D225" s="2"/>
    </row>
    <row r="226" spans="3:4" ht="13.2" x14ac:dyDescent="0.25">
      <c r="C226" s="2"/>
      <c r="D226" s="2"/>
    </row>
    <row r="227" spans="3:4" ht="13.2" x14ac:dyDescent="0.25">
      <c r="C227" s="2"/>
      <c r="D227" s="2"/>
    </row>
    <row r="228" spans="3:4" ht="13.2" x14ac:dyDescent="0.25">
      <c r="C228" s="2"/>
      <c r="D228" s="2"/>
    </row>
    <row r="229" spans="3:4" ht="13.2" x14ac:dyDescent="0.25">
      <c r="C229" s="2"/>
      <c r="D229" s="2"/>
    </row>
    <row r="230" spans="3:4" ht="13.2" x14ac:dyDescent="0.25">
      <c r="C230" s="2"/>
      <c r="D230" s="2"/>
    </row>
    <row r="231" spans="3:4" ht="13.2" x14ac:dyDescent="0.25">
      <c r="C231" s="2"/>
      <c r="D231" s="2"/>
    </row>
    <row r="232" spans="3:4" ht="13.2" x14ac:dyDescent="0.25">
      <c r="C232" s="2"/>
      <c r="D232" s="2"/>
    </row>
    <row r="233" spans="3:4" ht="13.2" x14ac:dyDescent="0.25">
      <c r="C233" s="2"/>
      <c r="D233" s="2"/>
    </row>
    <row r="234" spans="3:4" ht="13.2" x14ac:dyDescent="0.25">
      <c r="C234" s="2"/>
      <c r="D234" s="2"/>
    </row>
    <row r="235" spans="3:4" ht="13.2" x14ac:dyDescent="0.25">
      <c r="C235" s="2"/>
      <c r="D235" s="2"/>
    </row>
    <row r="236" spans="3:4" ht="13.2" x14ac:dyDescent="0.25">
      <c r="C236" s="2"/>
      <c r="D236" s="2"/>
    </row>
    <row r="237" spans="3:4" ht="13.2" x14ac:dyDescent="0.25">
      <c r="C237" s="2"/>
      <c r="D237" s="2"/>
    </row>
    <row r="238" spans="3:4" ht="13.2" x14ac:dyDescent="0.25">
      <c r="C238" s="2"/>
      <c r="D238" s="2"/>
    </row>
    <row r="239" spans="3:4" ht="13.2" x14ac:dyDescent="0.25">
      <c r="C239" s="2"/>
      <c r="D239" s="2"/>
    </row>
    <row r="240" spans="3:4" ht="13.2" x14ac:dyDescent="0.25">
      <c r="C240" s="2"/>
      <c r="D240" s="2"/>
    </row>
    <row r="241" spans="3:4" ht="13.2" x14ac:dyDescent="0.25">
      <c r="C241" s="2"/>
      <c r="D241" s="2"/>
    </row>
    <row r="242" spans="3:4" ht="13.2" x14ac:dyDescent="0.25">
      <c r="C242" s="2"/>
      <c r="D242" s="2"/>
    </row>
    <row r="243" spans="3:4" ht="13.2" x14ac:dyDescent="0.25">
      <c r="C243" s="2"/>
      <c r="D243" s="2"/>
    </row>
    <row r="244" spans="3:4" ht="13.2" x14ac:dyDescent="0.25">
      <c r="C244" s="2"/>
      <c r="D244" s="2"/>
    </row>
    <row r="245" spans="3:4" ht="13.2" x14ac:dyDescent="0.25">
      <c r="C245" s="2"/>
      <c r="D245" s="2"/>
    </row>
    <row r="246" spans="3:4" ht="13.2" x14ac:dyDescent="0.25">
      <c r="C246" s="2"/>
      <c r="D246" s="2"/>
    </row>
    <row r="247" spans="3:4" ht="13.2" x14ac:dyDescent="0.25">
      <c r="C247" s="2"/>
      <c r="D247" s="2"/>
    </row>
    <row r="248" spans="3:4" ht="13.2" x14ac:dyDescent="0.25">
      <c r="C248" s="2"/>
      <c r="D248" s="2"/>
    </row>
    <row r="249" spans="3:4" ht="13.2" x14ac:dyDescent="0.25">
      <c r="C249" s="2"/>
      <c r="D249" s="2"/>
    </row>
    <row r="250" spans="3:4" ht="13.2" x14ac:dyDescent="0.25">
      <c r="C250" s="2"/>
      <c r="D250" s="2"/>
    </row>
    <row r="251" spans="3:4" ht="13.2" x14ac:dyDescent="0.25">
      <c r="C251" s="2"/>
      <c r="D251" s="2"/>
    </row>
    <row r="252" spans="3:4" ht="13.2" x14ac:dyDescent="0.25">
      <c r="C252" s="2"/>
      <c r="D252" s="2"/>
    </row>
    <row r="253" spans="3:4" ht="13.2" x14ac:dyDescent="0.25">
      <c r="C253" s="2"/>
      <c r="D253" s="2"/>
    </row>
    <row r="254" spans="3:4" ht="13.2" x14ac:dyDescent="0.25">
      <c r="C254" s="2"/>
      <c r="D254" s="2"/>
    </row>
    <row r="255" spans="3:4" ht="13.2" x14ac:dyDescent="0.25">
      <c r="C255" s="2"/>
      <c r="D255" s="2"/>
    </row>
    <row r="256" spans="3:4" ht="13.2" x14ac:dyDescent="0.25">
      <c r="C256" s="2"/>
      <c r="D256" s="2"/>
    </row>
    <row r="257" spans="3:4" ht="13.2" x14ac:dyDescent="0.25">
      <c r="C257" s="2"/>
      <c r="D257" s="2"/>
    </row>
    <row r="258" spans="3:4" ht="13.2" x14ac:dyDescent="0.25">
      <c r="C258" s="2"/>
      <c r="D258" s="2"/>
    </row>
    <row r="259" spans="3:4" ht="13.2" x14ac:dyDescent="0.25">
      <c r="C259" s="2"/>
      <c r="D259" s="2"/>
    </row>
    <row r="260" spans="3:4" ht="13.2" x14ac:dyDescent="0.25">
      <c r="C260" s="2"/>
      <c r="D260" s="2"/>
    </row>
    <row r="261" spans="3:4" ht="13.2" x14ac:dyDescent="0.25">
      <c r="C261" s="2"/>
      <c r="D261" s="2"/>
    </row>
    <row r="262" spans="3:4" ht="13.2" x14ac:dyDescent="0.25">
      <c r="C262" s="2"/>
      <c r="D262" s="2"/>
    </row>
    <row r="263" spans="3:4" ht="13.2" x14ac:dyDescent="0.25">
      <c r="C263" s="2"/>
      <c r="D263" s="2"/>
    </row>
    <row r="264" spans="3:4" ht="13.2" x14ac:dyDescent="0.25">
      <c r="C264" s="2"/>
      <c r="D264" s="2"/>
    </row>
    <row r="265" spans="3:4" ht="13.2" x14ac:dyDescent="0.25">
      <c r="C265" s="2"/>
      <c r="D265" s="2"/>
    </row>
    <row r="266" spans="3:4" ht="13.2" x14ac:dyDescent="0.25">
      <c r="C266" s="2"/>
      <c r="D266" s="2"/>
    </row>
    <row r="267" spans="3:4" ht="13.2" x14ac:dyDescent="0.25">
      <c r="C267" s="2"/>
      <c r="D267" s="2"/>
    </row>
    <row r="268" spans="3:4" ht="13.2" x14ac:dyDescent="0.25">
      <c r="C268" s="2"/>
      <c r="D268" s="2"/>
    </row>
    <row r="269" spans="3:4" ht="13.2" x14ac:dyDescent="0.25">
      <c r="C269" s="2"/>
      <c r="D269" s="2"/>
    </row>
    <row r="270" spans="3:4" ht="13.2" x14ac:dyDescent="0.25">
      <c r="C270" s="2"/>
      <c r="D270" s="2"/>
    </row>
    <row r="271" spans="3:4" ht="13.2" x14ac:dyDescent="0.25">
      <c r="C271" s="2"/>
      <c r="D271" s="2"/>
    </row>
    <row r="272" spans="3:4" ht="13.2" x14ac:dyDescent="0.25">
      <c r="C272" s="2"/>
      <c r="D272" s="2"/>
    </row>
    <row r="273" spans="3:4" ht="13.2" x14ac:dyDescent="0.25">
      <c r="C273" s="2"/>
      <c r="D273" s="2"/>
    </row>
    <row r="274" spans="3:4" ht="13.2" x14ac:dyDescent="0.25">
      <c r="C274" s="2"/>
      <c r="D274" s="2"/>
    </row>
    <row r="275" spans="3:4" ht="13.2" x14ac:dyDescent="0.25">
      <c r="C275" s="2"/>
      <c r="D275" s="2"/>
    </row>
    <row r="276" spans="3:4" ht="13.2" x14ac:dyDescent="0.25">
      <c r="C276" s="2"/>
      <c r="D276" s="2"/>
    </row>
    <row r="277" spans="3:4" ht="13.2" x14ac:dyDescent="0.25">
      <c r="C277" s="2"/>
      <c r="D277" s="2"/>
    </row>
    <row r="278" spans="3:4" ht="13.2" x14ac:dyDescent="0.25">
      <c r="C278" s="2"/>
      <c r="D278" s="2"/>
    </row>
    <row r="279" spans="3:4" ht="13.2" x14ac:dyDescent="0.25">
      <c r="C279" s="2"/>
      <c r="D279" s="2"/>
    </row>
    <row r="280" spans="3:4" ht="13.2" x14ac:dyDescent="0.25">
      <c r="C280" s="2"/>
      <c r="D280" s="2"/>
    </row>
    <row r="281" spans="3:4" ht="13.2" x14ac:dyDescent="0.25">
      <c r="C281" s="2"/>
      <c r="D281" s="2"/>
    </row>
    <row r="282" spans="3:4" ht="13.2" x14ac:dyDescent="0.25">
      <c r="C282" s="2"/>
      <c r="D282" s="2"/>
    </row>
    <row r="283" spans="3:4" ht="13.2" x14ac:dyDescent="0.25">
      <c r="C283" s="2"/>
      <c r="D283" s="2"/>
    </row>
    <row r="284" spans="3:4" ht="13.2" x14ac:dyDescent="0.25">
      <c r="C284" s="2"/>
      <c r="D284" s="2"/>
    </row>
    <row r="285" spans="3:4" ht="13.2" x14ac:dyDescent="0.25">
      <c r="C285" s="2"/>
      <c r="D285" s="2"/>
    </row>
    <row r="286" spans="3:4" ht="13.2" x14ac:dyDescent="0.25">
      <c r="C286" s="2"/>
      <c r="D286" s="2"/>
    </row>
    <row r="287" spans="3:4" ht="13.2" x14ac:dyDescent="0.25">
      <c r="C287" s="2"/>
      <c r="D287" s="2"/>
    </row>
    <row r="288" spans="3:4" ht="13.2" x14ac:dyDescent="0.25">
      <c r="C288" s="2"/>
      <c r="D288" s="2"/>
    </row>
    <row r="289" spans="3:4" ht="13.2" x14ac:dyDescent="0.25">
      <c r="C289" s="2"/>
      <c r="D289" s="2"/>
    </row>
    <row r="290" spans="3:4" ht="13.2" x14ac:dyDescent="0.25">
      <c r="C290" s="2"/>
      <c r="D290" s="2"/>
    </row>
    <row r="291" spans="3:4" ht="13.2" x14ac:dyDescent="0.25">
      <c r="C291" s="2"/>
      <c r="D291" s="2"/>
    </row>
    <row r="292" spans="3:4" ht="13.2" x14ac:dyDescent="0.25">
      <c r="C292" s="2"/>
      <c r="D292" s="2"/>
    </row>
    <row r="293" spans="3:4" ht="13.2" x14ac:dyDescent="0.25">
      <c r="C293" s="2"/>
      <c r="D293" s="2"/>
    </row>
    <row r="294" spans="3:4" ht="13.2" x14ac:dyDescent="0.25">
      <c r="C294" s="2"/>
      <c r="D294" s="2"/>
    </row>
    <row r="295" spans="3:4" ht="13.2" x14ac:dyDescent="0.25">
      <c r="C295" s="2"/>
      <c r="D295" s="2"/>
    </row>
    <row r="296" spans="3:4" ht="13.2" x14ac:dyDescent="0.25">
      <c r="C296" s="2"/>
      <c r="D296" s="2"/>
    </row>
    <row r="297" spans="3:4" ht="13.2" x14ac:dyDescent="0.25">
      <c r="C297" s="2"/>
      <c r="D297" s="2"/>
    </row>
    <row r="298" spans="3:4" ht="13.2" x14ac:dyDescent="0.25">
      <c r="C298" s="2"/>
      <c r="D298" s="2"/>
    </row>
    <row r="299" spans="3:4" ht="13.2" x14ac:dyDescent="0.25">
      <c r="C299" s="2"/>
      <c r="D299" s="2"/>
    </row>
    <row r="300" spans="3:4" ht="13.2" x14ac:dyDescent="0.25">
      <c r="C300" s="2"/>
      <c r="D300" s="2"/>
    </row>
    <row r="301" spans="3:4" ht="13.2" x14ac:dyDescent="0.25">
      <c r="C301" s="2"/>
      <c r="D301" s="2"/>
    </row>
    <row r="302" spans="3:4" ht="13.2" x14ac:dyDescent="0.25">
      <c r="C302" s="2"/>
      <c r="D302" s="2"/>
    </row>
    <row r="303" spans="3:4" ht="13.2" x14ac:dyDescent="0.25">
      <c r="C303" s="2"/>
      <c r="D303" s="2"/>
    </row>
    <row r="304" spans="3:4" ht="13.2" x14ac:dyDescent="0.25">
      <c r="C304" s="2"/>
      <c r="D304" s="2"/>
    </row>
    <row r="305" spans="3:4" ht="13.2" x14ac:dyDescent="0.25">
      <c r="C305" s="2"/>
      <c r="D305" s="2"/>
    </row>
    <row r="306" spans="3:4" ht="13.2" x14ac:dyDescent="0.25">
      <c r="C306" s="2"/>
      <c r="D306" s="2"/>
    </row>
    <row r="307" spans="3:4" ht="13.2" x14ac:dyDescent="0.25">
      <c r="C307" s="2"/>
      <c r="D307" s="2"/>
    </row>
    <row r="308" spans="3:4" ht="13.2" x14ac:dyDescent="0.25">
      <c r="C308" s="2"/>
      <c r="D308" s="2"/>
    </row>
    <row r="309" spans="3:4" ht="13.2" x14ac:dyDescent="0.25">
      <c r="C309" s="2"/>
      <c r="D309" s="2"/>
    </row>
    <row r="310" spans="3:4" ht="13.2" x14ac:dyDescent="0.25">
      <c r="C310" s="2"/>
      <c r="D310" s="2"/>
    </row>
    <row r="311" spans="3:4" ht="13.2" x14ac:dyDescent="0.25">
      <c r="C311" s="2"/>
      <c r="D311" s="2"/>
    </row>
    <row r="312" spans="3:4" ht="13.2" x14ac:dyDescent="0.25">
      <c r="C312" s="2"/>
      <c r="D312" s="2"/>
    </row>
    <row r="313" spans="3:4" ht="13.2" x14ac:dyDescent="0.25">
      <c r="C313" s="2"/>
      <c r="D313" s="2"/>
    </row>
    <row r="314" spans="3:4" ht="13.2" x14ac:dyDescent="0.25">
      <c r="C314" s="2"/>
      <c r="D314" s="2"/>
    </row>
    <row r="315" spans="3:4" ht="13.2" x14ac:dyDescent="0.25">
      <c r="C315" s="2"/>
      <c r="D315" s="2"/>
    </row>
    <row r="316" spans="3:4" ht="13.2" x14ac:dyDescent="0.25">
      <c r="C316" s="2"/>
      <c r="D316" s="2"/>
    </row>
    <row r="317" spans="3:4" ht="13.2" x14ac:dyDescent="0.25">
      <c r="C317" s="2"/>
      <c r="D317" s="2"/>
    </row>
    <row r="318" spans="3:4" ht="13.2" x14ac:dyDescent="0.25">
      <c r="C318" s="2"/>
      <c r="D318" s="2"/>
    </row>
    <row r="319" spans="3:4" ht="13.2" x14ac:dyDescent="0.25">
      <c r="C319" s="2"/>
      <c r="D319" s="2"/>
    </row>
    <row r="320" spans="3:4" ht="13.2" x14ac:dyDescent="0.25">
      <c r="C320" s="2"/>
      <c r="D320" s="2"/>
    </row>
    <row r="321" spans="3:4" ht="13.2" x14ac:dyDescent="0.25">
      <c r="C321" s="2"/>
      <c r="D321" s="2"/>
    </row>
    <row r="322" spans="3:4" ht="13.2" x14ac:dyDescent="0.25">
      <c r="C322" s="2"/>
      <c r="D322" s="2"/>
    </row>
    <row r="323" spans="3:4" ht="13.2" x14ac:dyDescent="0.25">
      <c r="C323" s="2"/>
      <c r="D323" s="2"/>
    </row>
    <row r="324" spans="3:4" ht="13.2" x14ac:dyDescent="0.25">
      <c r="C324" s="2"/>
      <c r="D324" s="2"/>
    </row>
    <row r="325" spans="3:4" ht="13.2" x14ac:dyDescent="0.25">
      <c r="C325" s="2"/>
      <c r="D325" s="2"/>
    </row>
    <row r="326" spans="3:4" ht="13.2" x14ac:dyDescent="0.25">
      <c r="C326" s="2"/>
      <c r="D326" s="2"/>
    </row>
    <row r="327" spans="3:4" ht="13.2" x14ac:dyDescent="0.25">
      <c r="C327" s="2"/>
      <c r="D327" s="2"/>
    </row>
    <row r="328" spans="3:4" ht="13.2" x14ac:dyDescent="0.25">
      <c r="C328" s="2"/>
      <c r="D328" s="2"/>
    </row>
    <row r="329" spans="3:4" ht="13.2" x14ac:dyDescent="0.25">
      <c r="C329" s="2"/>
      <c r="D329" s="2"/>
    </row>
    <row r="330" spans="3:4" ht="13.2" x14ac:dyDescent="0.25">
      <c r="C330" s="2"/>
      <c r="D330" s="2"/>
    </row>
    <row r="331" spans="3:4" ht="13.2" x14ac:dyDescent="0.25">
      <c r="C331" s="2"/>
      <c r="D331" s="2"/>
    </row>
    <row r="332" spans="3:4" ht="13.2" x14ac:dyDescent="0.25">
      <c r="C332" s="2"/>
      <c r="D332" s="2"/>
    </row>
    <row r="333" spans="3:4" ht="13.2" x14ac:dyDescent="0.25">
      <c r="C333" s="2"/>
      <c r="D333" s="2"/>
    </row>
    <row r="334" spans="3:4" ht="13.2" x14ac:dyDescent="0.25">
      <c r="C334" s="2"/>
      <c r="D334" s="2"/>
    </row>
    <row r="335" spans="3:4" ht="13.2" x14ac:dyDescent="0.25">
      <c r="C335" s="2"/>
      <c r="D335" s="2"/>
    </row>
    <row r="336" spans="3:4" ht="13.2" x14ac:dyDescent="0.25">
      <c r="C336" s="2"/>
      <c r="D336" s="2"/>
    </row>
    <row r="337" spans="3:4" ht="13.2" x14ac:dyDescent="0.25">
      <c r="C337" s="2"/>
      <c r="D337" s="2"/>
    </row>
    <row r="338" spans="3:4" ht="13.2" x14ac:dyDescent="0.25">
      <c r="C338" s="2"/>
      <c r="D338" s="2"/>
    </row>
    <row r="339" spans="3:4" ht="13.2" x14ac:dyDescent="0.25">
      <c r="C339" s="2"/>
      <c r="D339" s="2"/>
    </row>
    <row r="340" spans="3:4" ht="13.2" x14ac:dyDescent="0.25">
      <c r="C340" s="2"/>
      <c r="D340" s="2"/>
    </row>
    <row r="341" spans="3:4" ht="13.2" x14ac:dyDescent="0.25">
      <c r="C341" s="2"/>
      <c r="D341" s="2"/>
    </row>
    <row r="342" spans="3:4" ht="13.2" x14ac:dyDescent="0.25">
      <c r="C342" s="2"/>
      <c r="D342" s="2"/>
    </row>
    <row r="343" spans="3:4" ht="13.2" x14ac:dyDescent="0.25">
      <c r="C343" s="2"/>
      <c r="D343" s="2"/>
    </row>
    <row r="344" spans="3:4" ht="13.2" x14ac:dyDescent="0.25">
      <c r="C344" s="2"/>
      <c r="D344" s="2"/>
    </row>
    <row r="345" spans="3:4" ht="13.2" x14ac:dyDescent="0.25">
      <c r="C345" s="2"/>
      <c r="D345" s="2"/>
    </row>
    <row r="346" spans="3:4" ht="13.2" x14ac:dyDescent="0.25">
      <c r="C346" s="2"/>
      <c r="D346" s="2"/>
    </row>
    <row r="347" spans="3:4" ht="13.2" x14ac:dyDescent="0.25">
      <c r="C347" s="2"/>
      <c r="D347" s="2"/>
    </row>
    <row r="348" spans="3:4" ht="13.2" x14ac:dyDescent="0.25">
      <c r="C348" s="2"/>
      <c r="D348" s="2"/>
    </row>
    <row r="349" spans="3:4" ht="13.2" x14ac:dyDescent="0.25">
      <c r="C349" s="2"/>
      <c r="D349" s="2"/>
    </row>
    <row r="350" spans="3:4" ht="13.2" x14ac:dyDescent="0.25">
      <c r="C350" s="2"/>
      <c r="D350" s="2"/>
    </row>
    <row r="351" spans="3:4" ht="13.2" x14ac:dyDescent="0.25">
      <c r="C351" s="2"/>
      <c r="D351" s="2"/>
    </row>
    <row r="352" spans="3:4" ht="13.2" x14ac:dyDescent="0.25">
      <c r="C352" s="2"/>
      <c r="D352" s="2"/>
    </row>
    <row r="353" spans="3:4" ht="13.2" x14ac:dyDescent="0.25">
      <c r="C353" s="2"/>
      <c r="D353" s="2"/>
    </row>
    <row r="354" spans="3:4" ht="13.2" x14ac:dyDescent="0.25">
      <c r="C354" s="2"/>
      <c r="D354" s="2"/>
    </row>
    <row r="355" spans="3:4" ht="13.2" x14ac:dyDescent="0.25">
      <c r="C355" s="2"/>
      <c r="D355" s="2"/>
    </row>
    <row r="356" spans="3:4" ht="13.2" x14ac:dyDescent="0.25">
      <c r="C356" s="2"/>
      <c r="D356" s="2"/>
    </row>
    <row r="357" spans="3:4" ht="13.2" x14ac:dyDescent="0.25">
      <c r="C357" s="2"/>
      <c r="D357" s="2"/>
    </row>
    <row r="358" spans="3:4" ht="13.2" x14ac:dyDescent="0.25">
      <c r="C358" s="2"/>
      <c r="D358" s="2"/>
    </row>
    <row r="359" spans="3:4" ht="13.2" x14ac:dyDescent="0.25">
      <c r="C359" s="2"/>
      <c r="D359" s="2"/>
    </row>
    <row r="360" spans="3:4" ht="13.2" x14ac:dyDescent="0.25">
      <c r="C360" s="2"/>
      <c r="D360" s="2"/>
    </row>
    <row r="361" spans="3:4" ht="13.2" x14ac:dyDescent="0.25">
      <c r="C361" s="2"/>
      <c r="D361" s="2"/>
    </row>
    <row r="362" spans="3:4" ht="13.2" x14ac:dyDescent="0.25">
      <c r="C362" s="2"/>
      <c r="D362" s="2"/>
    </row>
    <row r="363" spans="3:4" ht="13.2" x14ac:dyDescent="0.25">
      <c r="C363" s="2"/>
      <c r="D363" s="2"/>
    </row>
    <row r="364" spans="3:4" ht="13.2" x14ac:dyDescent="0.25">
      <c r="C364" s="2"/>
      <c r="D364" s="2"/>
    </row>
    <row r="365" spans="3:4" ht="13.2" x14ac:dyDescent="0.25">
      <c r="C365" s="2"/>
      <c r="D365" s="2"/>
    </row>
    <row r="366" spans="3:4" ht="13.2" x14ac:dyDescent="0.25">
      <c r="C366" s="2"/>
      <c r="D366" s="2"/>
    </row>
    <row r="367" spans="3:4" ht="13.2" x14ac:dyDescent="0.25">
      <c r="C367" s="2"/>
      <c r="D367" s="2"/>
    </row>
    <row r="368" spans="3:4" ht="13.2" x14ac:dyDescent="0.25">
      <c r="C368" s="2"/>
      <c r="D368" s="2"/>
    </row>
    <row r="369" spans="3:4" ht="13.2" x14ac:dyDescent="0.25">
      <c r="C369" s="2"/>
      <c r="D369" s="2"/>
    </row>
    <row r="370" spans="3:4" ht="13.2" x14ac:dyDescent="0.25">
      <c r="C370" s="2"/>
      <c r="D370" s="2"/>
    </row>
    <row r="371" spans="3:4" ht="13.2" x14ac:dyDescent="0.25">
      <c r="C371" s="2"/>
      <c r="D371" s="2"/>
    </row>
    <row r="372" spans="3:4" ht="13.2" x14ac:dyDescent="0.25">
      <c r="C372" s="2"/>
      <c r="D372" s="2"/>
    </row>
    <row r="373" spans="3:4" ht="13.2" x14ac:dyDescent="0.25">
      <c r="C373" s="2"/>
      <c r="D373" s="2"/>
    </row>
    <row r="374" spans="3:4" ht="13.2" x14ac:dyDescent="0.25">
      <c r="C374" s="2"/>
      <c r="D374" s="2"/>
    </row>
    <row r="375" spans="3:4" ht="13.2" x14ac:dyDescent="0.25">
      <c r="C375" s="2"/>
      <c r="D375" s="2"/>
    </row>
    <row r="376" spans="3:4" ht="13.2" x14ac:dyDescent="0.25">
      <c r="C376" s="2"/>
      <c r="D376" s="2"/>
    </row>
    <row r="377" spans="3:4" ht="13.2" x14ac:dyDescent="0.25">
      <c r="C377" s="2"/>
      <c r="D377" s="2"/>
    </row>
    <row r="378" spans="3:4" ht="13.2" x14ac:dyDescent="0.25">
      <c r="C378" s="2"/>
      <c r="D378" s="2"/>
    </row>
    <row r="379" spans="3:4" ht="13.2" x14ac:dyDescent="0.25">
      <c r="C379" s="2"/>
      <c r="D379" s="2"/>
    </row>
    <row r="380" spans="3:4" ht="13.2" x14ac:dyDescent="0.25">
      <c r="C380" s="2"/>
      <c r="D380" s="2"/>
    </row>
    <row r="381" spans="3:4" ht="13.2" x14ac:dyDescent="0.25">
      <c r="C381" s="2"/>
      <c r="D381" s="2"/>
    </row>
    <row r="382" spans="3:4" ht="13.2" x14ac:dyDescent="0.25">
      <c r="C382" s="2"/>
      <c r="D382" s="2"/>
    </row>
    <row r="383" spans="3:4" ht="13.2" x14ac:dyDescent="0.25">
      <c r="C383" s="2"/>
      <c r="D383" s="2"/>
    </row>
    <row r="384" spans="3:4" ht="13.2" x14ac:dyDescent="0.25">
      <c r="C384" s="2"/>
      <c r="D384" s="2"/>
    </row>
    <row r="385" spans="3:4" ht="13.2" x14ac:dyDescent="0.25">
      <c r="C385" s="2"/>
      <c r="D385" s="2"/>
    </row>
    <row r="386" spans="3:4" ht="13.2" x14ac:dyDescent="0.25">
      <c r="C386" s="2"/>
      <c r="D386" s="2"/>
    </row>
    <row r="387" spans="3:4" ht="13.2" x14ac:dyDescent="0.25">
      <c r="C387" s="2"/>
      <c r="D387" s="2"/>
    </row>
    <row r="388" spans="3:4" ht="13.2" x14ac:dyDescent="0.25">
      <c r="C388" s="2"/>
      <c r="D388" s="2"/>
    </row>
    <row r="389" spans="3:4" ht="13.2" x14ac:dyDescent="0.25">
      <c r="C389" s="2"/>
      <c r="D389" s="2"/>
    </row>
    <row r="390" spans="3:4" ht="13.2" x14ac:dyDescent="0.25">
      <c r="C390" s="2"/>
      <c r="D390" s="2"/>
    </row>
    <row r="391" spans="3:4" ht="13.2" x14ac:dyDescent="0.25">
      <c r="C391" s="2"/>
      <c r="D391" s="2"/>
    </row>
    <row r="392" spans="3:4" ht="13.2" x14ac:dyDescent="0.25">
      <c r="C392" s="2"/>
      <c r="D392" s="2"/>
    </row>
    <row r="393" spans="3:4" ht="13.2" x14ac:dyDescent="0.25">
      <c r="C393" s="2"/>
      <c r="D393" s="2"/>
    </row>
    <row r="394" spans="3:4" ht="13.2" x14ac:dyDescent="0.25">
      <c r="C394" s="2"/>
      <c r="D394" s="2"/>
    </row>
    <row r="395" spans="3:4" ht="13.2" x14ac:dyDescent="0.25">
      <c r="C395" s="2"/>
      <c r="D395" s="2"/>
    </row>
    <row r="396" spans="3:4" ht="13.2" x14ac:dyDescent="0.25">
      <c r="C396" s="2"/>
      <c r="D396" s="2"/>
    </row>
    <row r="397" spans="3:4" ht="13.2" x14ac:dyDescent="0.25">
      <c r="C397" s="2"/>
      <c r="D397" s="2"/>
    </row>
    <row r="398" spans="3:4" ht="13.2" x14ac:dyDescent="0.25">
      <c r="C398" s="2"/>
      <c r="D398" s="2"/>
    </row>
    <row r="399" spans="3:4" ht="13.2" x14ac:dyDescent="0.25">
      <c r="C399" s="2"/>
      <c r="D399" s="2"/>
    </row>
    <row r="400" spans="3:4" ht="13.2" x14ac:dyDescent="0.25">
      <c r="C400" s="2"/>
      <c r="D400" s="2"/>
    </row>
    <row r="401" spans="3:4" ht="13.2" x14ac:dyDescent="0.25">
      <c r="C401" s="2"/>
      <c r="D401" s="2"/>
    </row>
    <row r="402" spans="3:4" ht="13.2" x14ac:dyDescent="0.25">
      <c r="C402" s="2"/>
      <c r="D402" s="2"/>
    </row>
    <row r="403" spans="3:4" ht="13.2" x14ac:dyDescent="0.25">
      <c r="C403" s="2"/>
      <c r="D403" s="2"/>
    </row>
    <row r="404" spans="3:4" ht="13.2" x14ac:dyDescent="0.25">
      <c r="C404" s="2"/>
      <c r="D404" s="2"/>
    </row>
    <row r="405" spans="3:4" ht="13.2" x14ac:dyDescent="0.25">
      <c r="C405" s="2"/>
      <c r="D405" s="2"/>
    </row>
    <row r="406" spans="3:4" ht="13.2" x14ac:dyDescent="0.25">
      <c r="C406" s="2"/>
      <c r="D406" s="2"/>
    </row>
    <row r="407" spans="3:4" ht="13.2" x14ac:dyDescent="0.25">
      <c r="C407" s="2"/>
      <c r="D407" s="2"/>
    </row>
    <row r="408" spans="3:4" ht="13.2" x14ac:dyDescent="0.25">
      <c r="C408" s="2"/>
      <c r="D408" s="2"/>
    </row>
    <row r="409" spans="3:4" ht="13.2" x14ac:dyDescent="0.25">
      <c r="C409" s="2"/>
      <c r="D409" s="2"/>
    </row>
    <row r="410" spans="3:4" ht="13.2" x14ac:dyDescent="0.25">
      <c r="C410" s="2"/>
      <c r="D410" s="2"/>
    </row>
    <row r="411" spans="3:4" ht="13.2" x14ac:dyDescent="0.25">
      <c r="C411" s="2"/>
      <c r="D411" s="2"/>
    </row>
    <row r="412" spans="3:4" ht="13.2" x14ac:dyDescent="0.25">
      <c r="C412" s="2"/>
      <c r="D412" s="2"/>
    </row>
    <row r="413" spans="3:4" ht="13.2" x14ac:dyDescent="0.25">
      <c r="C413" s="2"/>
      <c r="D413" s="2"/>
    </row>
    <row r="414" spans="3:4" ht="13.2" x14ac:dyDescent="0.25">
      <c r="C414" s="2"/>
      <c r="D414" s="2"/>
    </row>
    <row r="415" spans="3:4" ht="13.2" x14ac:dyDescent="0.25">
      <c r="C415" s="2"/>
      <c r="D415" s="2"/>
    </row>
    <row r="416" spans="3:4" ht="13.2" x14ac:dyDescent="0.25">
      <c r="C416" s="2"/>
      <c r="D416" s="2"/>
    </row>
    <row r="417" spans="3:4" ht="13.2" x14ac:dyDescent="0.25">
      <c r="C417" s="2"/>
      <c r="D417" s="2"/>
    </row>
    <row r="418" spans="3:4" ht="13.2" x14ac:dyDescent="0.25">
      <c r="C418" s="2"/>
      <c r="D418" s="2"/>
    </row>
    <row r="419" spans="3:4" ht="13.2" x14ac:dyDescent="0.25">
      <c r="C419" s="2"/>
      <c r="D419" s="2"/>
    </row>
    <row r="420" spans="3:4" ht="13.2" x14ac:dyDescent="0.25">
      <c r="C420" s="2"/>
      <c r="D420" s="2"/>
    </row>
    <row r="421" spans="3:4" ht="13.2" x14ac:dyDescent="0.25">
      <c r="C421" s="2"/>
      <c r="D421" s="2"/>
    </row>
    <row r="422" spans="3:4" ht="13.2" x14ac:dyDescent="0.25">
      <c r="C422" s="2"/>
      <c r="D422" s="2"/>
    </row>
    <row r="423" spans="3:4" ht="13.2" x14ac:dyDescent="0.25">
      <c r="C423" s="2"/>
      <c r="D423" s="2"/>
    </row>
    <row r="424" spans="3:4" ht="13.2" x14ac:dyDescent="0.25">
      <c r="C424" s="2"/>
      <c r="D424" s="2"/>
    </row>
    <row r="425" spans="3:4" ht="13.2" x14ac:dyDescent="0.25">
      <c r="C425" s="2"/>
      <c r="D425" s="2"/>
    </row>
    <row r="426" spans="3:4" ht="13.2" x14ac:dyDescent="0.25">
      <c r="C426" s="2"/>
      <c r="D426" s="2"/>
    </row>
    <row r="427" spans="3:4" ht="13.2" x14ac:dyDescent="0.25">
      <c r="C427" s="2"/>
      <c r="D427" s="2"/>
    </row>
    <row r="428" spans="3:4" ht="13.2" x14ac:dyDescent="0.25">
      <c r="C428" s="2"/>
      <c r="D428" s="2"/>
    </row>
    <row r="429" spans="3:4" ht="13.2" x14ac:dyDescent="0.25">
      <c r="C429" s="2"/>
      <c r="D429" s="2"/>
    </row>
    <row r="430" spans="3:4" ht="13.2" x14ac:dyDescent="0.25">
      <c r="C430" s="2"/>
      <c r="D430" s="2"/>
    </row>
    <row r="431" spans="3:4" ht="13.2" x14ac:dyDescent="0.25">
      <c r="C431" s="2"/>
      <c r="D431" s="2"/>
    </row>
    <row r="432" spans="3:4" ht="13.2" x14ac:dyDescent="0.25">
      <c r="C432" s="2"/>
      <c r="D432" s="2"/>
    </row>
    <row r="433" spans="3:4" ht="13.2" x14ac:dyDescent="0.25">
      <c r="C433" s="2"/>
      <c r="D433" s="2"/>
    </row>
    <row r="434" spans="3:4" ht="13.2" x14ac:dyDescent="0.25">
      <c r="C434" s="2"/>
      <c r="D434" s="2"/>
    </row>
    <row r="435" spans="3:4" ht="13.2" x14ac:dyDescent="0.25">
      <c r="C435" s="2"/>
      <c r="D435" s="2"/>
    </row>
    <row r="436" spans="3:4" ht="13.2" x14ac:dyDescent="0.25">
      <c r="C436" s="2"/>
      <c r="D436" s="2"/>
    </row>
    <row r="437" spans="3:4" ht="13.2" x14ac:dyDescent="0.25">
      <c r="C437" s="2"/>
      <c r="D437" s="2"/>
    </row>
    <row r="438" spans="3:4" ht="13.2" x14ac:dyDescent="0.25">
      <c r="C438" s="2"/>
      <c r="D438" s="2"/>
    </row>
    <row r="439" spans="3:4" ht="13.2" x14ac:dyDescent="0.25">
      <c r="C439" s="2"/>
      <c r="D439" s="2"/>
    </row>
    <row r="440" spans="3:4" ht="13.2" x14ac:dyDescent="0.25">
      <c r="C440" s="2"/>
      <c r="D440" s="2"/>
    </row>
    <row r="441" spans="3:4" ht="13.2" x14ac:dyDescent="0.25">
      <c r="C441" s="2"/>
      <c r="D441" s="2"/>
    </row>
    <row r="442" spans="3:4" ht="13.2" x14ac:dyDescent="0.25">
      <c r="C442" s="2"/>
      <c r="D442" s="2"/>
    </row>
    <row r="443" spans="3:4" ht="13.2" x14ac:dyDescent="0.25">
      <c r="C443" s="2"/>
      <c r="D443" s="2"/>
    </row>
    <row r="444" spans="3:4" ht="13.2" x14ac:dyDescent="0.25">
      <c r="C444" s="2"/>
      <c r="D444" s="2"/>
    </row>
    <row r="445" spans="3:4" ht="13.2" x14ac:dyDescent="0.25">
      <c r="C445" s="2"/>
      <c r="D445" s="2"/>
    </row>
    <row r="446" spans="3:4" ht="13.2" x14ac:dyDescent="0.25">
      <c r="C446" s="2"/>
      <c r="D446" s="2"/>
    </row>
    <row r="447" spans="3:4" ht="13.2" x14ac:dyDescent="0.25">
      <c r="C447" s="2"/>
      <c r="D447" s="2"/>
    </row>
    <row r="448" spans="3:4" ht="13.2" x14ac:dyDescent="0.25">
      <c r="C448" s="2"/>
      <c r="D448" s="2"/>
    </row>
    <row r="449" spans="3:4" ht="13.2" x14ac:dyDescent="0.25">
      <c r="C449" s="2"/>
      <c r="D449" s="2"/>
    </row>
    <row r="450" spans="3:4" ht="13.2" x14ac:dyDescent="0.25">
      <c r="C450" s="2"/>
      <c r="D450" s="2"/>
    </row>
    <row r="451" spans="3:4" ht="13.2" x14ac:dyDescent="0.25">
      <c r="C451" s="2"/>
      <c r="D451" s="2"/>
    </row>
    <row r="452" spans="3:4" ht="13.2" x14ac:dyDescent="0.25">
      <c r="C452" s="2"/>
      <c r="D452" s="2"/>
    </row>
    <row r="453" spans="3:4" ht="13.2" x14ac:dyDescent="0.25">
      <c r="C453" s="2"/>
      <c r="D453" s="2"/>
    </row>
    <row r="454" spans="3:4" ht="13.2" x14ac:dyDescent="0.25">
      <c r="C454" s="2"/>
      <c r="D454" s="2"/>
    </row>
    <row r="455" spans="3:4" ht="13.2" x14ac:dyDescent="0.25">
      <c r="C455" s="2"/>
      <c r="D455" s="2"/>
    </row>
    <row r="456" spans="3:4" ht="13.2" x14ac:dyDescent="0.25">
      <c r="C456" s="2"/>
      <c r="D456" s="2"/>
    </row>
    <row r="457" spans="3:4" ht="13.2" x14ac:dyDescent="0.25">
      <c r="C457" s="2"/>
      <c r="D457" s="2"/>
    </row>
    <row r="458" spans="3:4" ht="13.2" x14ac:dyDescent="0.25">
      <c r="C458" s="2"/>
      <c r="D458" s="2"/>
    </row>
    <row r="459" spans="3:4" ht="13.2" x14ac:dyDescent="0.25">
      <c r="C459" s="2"/>
      <c r="D459" s="2"/>
    </row>
    <row r="460" spans="3:4" ht="13.2" x14ac:dyDescent="0.25">
      <c r="C460" s="2"/>
      <c r="D460" s="2"/>
    </row>
    <row r="461" spans="3:4" ht="13.2" x14ac:dyDescent="0.25">
      <c r="C461" s="2"/>
      <c r="D461" s="2"/>
    </row>
    <row r="462" spans="3:4" ht="13.2" x14ac:dyDescent="0.25">
      <c r="C462" s="2"/>
      <c r="D462" s="2"/>
    </row>
    <row r="463" spans="3:4" ht="13.2" x14ac:dyDescent="0.25">
      <c r="C463" s="2"/>
      <c r="D463" s="2"/>
    </row>
    <row r="464" spans="3:4" ht="13.2" x14ac:dyDescent="0.25">
      <c r="C464" s="2"/>
      <c r="D464" s="2"/>
    </row>
    <row r="465" spans="3:4" ht="13.2" x14ac:dyDescent="0.25">
      <c r="C465" s="2"/>
      <c r="D465" s="2"/>
    </row>
    <row r="466" spans="3:4" ht="13.2" x14ac:dyDescent="0.25">
      <c r="C466" s="2"/>
      <c r="D466" s="2"/>
    </row>
    <row r="467" spans="3:4" ht="13.2" x14ac:dyDescent="0.25">
      <c r="C467" s="2"/>
      <c r="D467" s="2"/>
    </row>
    <row r="468" spans="3:4" ht="13.2" x14ac:dyDescent="0.25">
      <c r="C468" s="2"/>
      <c r="D468" s="2"/>
    </row>
    <row r="469" spans="3:4" ht="13.2" x14ac:dyDescent="0.25">
      <c r="C469" s="2"/>
      <c r="D469" s="2"/>
    </row>
    <row r="470" spans="3:4" ht="13.2" x14ac:dyDescent="0.25">
      <c r="C470" s="2"/>
      <c r="D470" s="2"/>
    </row>
    <row r="471" spans="3:4" ht="13.2" x14ac:dyDescent="0.25">
      <c r="C471" s="2"/>
      <c r="D471" s="2"/>
    </row>
    <row r="472" spans="3:4" ht="13.2" x14ac:dyDescent="0.25">
      <c r="C472" s="2"/>
      <c r="D472" s="2"/>
    </row>
    <row r="473" spans="3:4" ht="13.2" x14ac:dyDescent="0.25">
      <c r="C473" s="2"/>
      <c r="D473" s="2"/>
    </row>
    <row r="474" spans="3:4" ht="13.2" x14ac:dyDescent="0.25">
      <c r="C474" s="2"/>
      <c r="D474" s="2"/>
    </row>
    <row r="475" spans="3:4" ht="13.2" x14ac:dyDescent="0.25">
      <c r="C475" s="2"/>
      <c r="D475" s="2"/>
    </row>
    <row r="476" spans="3:4" ht="13.2" x14ac:dyDescent="0.25">
      <c r="C476" s="2"/>
      <c r="D476" s="2"/>
    </row>
    <row r="477" spans="3:4" ht="13.2" x14ac:dyDescent="0.25">
      <c r="C477" s="2"/>
      <c r="D477" s="2"/>
    </row>
    <row r="478" spans="3:4" ht="13.2" x14ac:dyDescent="0.25">
      <c r="C478" s="2"/>
      <c r="D478" s="2"/>
    </row>
    <row r="479" spans="3:4" ht="13.2" x14ac:dyDescent="0.25">
      <c r="C479" s="2"/>
      <c r="D479" s="2"/>
    </row>
    <row r="480" spans="3:4" ht="13.2" x14ac:dyDescent="0.25">
      <c r="C480" s="2"/>
      <c r="D480" s="2"/>
    </row>
    <row r="481" spans="3:4" ht="13.2" x14ac:dyDescent="0.25">
      <c r="C481" s="2"/>
      <c r="D481" s="2"/>
    </row>
    <row r="482" spans="3:4" ht="13.2" x14ac:dyDescent="0.25">
      <c r="C482" s="2"/>
      <c r="D482" s="2"/>
    </row>
    <row r="483" spans="3:4" ht="13.2" x14ac:dyDescent="0.25">
      <c r="C483" s="2"/>
      <c r="D483" s="2"/>
    </row>
    <row r="484" spans="3:4" ht="13.2" x14ac:dyDescent="0.25">
      <c r="C484" s="2"/>
      <c r="D484" s="2"/>
    </row>
    <row r="485" spans="3:4" ht="13.2" x14ac:dyDescent="0.25">
      <c r="C485" s="2"/>
      <c r="D485" s="2"/>
    </row>
    <row r="486" spans="3:4" ht="13.2" x14ac:dyDescent="0.25">
      <c r="C486" s="2"/>
      <c r="D486" s="2"/>
    </row>
    <row r="487" spans="3:4" ht="13.2" x14ac:dyDescent="0.25">
      <c r="C487" s="2"/>
      <c r="D487" s="2"/>
    </row>
    <row r="488" spans="3:4" ht="13.2" x14ac:dyDescent="0.25">
      <c r="C488" s="2"/>
      <c r="D488" s="2"/>
    </row>
    <row r="489" spans="3:4" ht="13.2" x14ac:dyDescent="0.25">
      <c r="C489" s="2"/>
      <c r="D489" s="2"/>
    </row>
    <row r="490" spans="3:4" ht="13.2" x14ac:dyDescent="0.25">
      <c r="C490" s="2"/>
      <c r="D490" s="2"/>
    </row>
    <row r="491" spans="3:4" ht="13.2" x14ac:dyDescent="0.25">
      <c r="C491" s="2"/>
      <c r="D491" s="2"/>
    </row>
    <row r="492" spans="3:4" ht="13.2" x14ac:dyDescent="0.25">
      <c r="C492" s="2"/>
      <c r="D492" s="2"/>
    </row>
    <row r="493" spans="3:4" ht="13.2" x14ac:dyDescent="0.25">
      <c r="C493" s="2"/>
      <c r="D493" s="2"/>
    </row>
    <row r="494" spans="3:4" ht="13.2" x14ac:dyDescent="0.25">
      <c r="C494" s="2"/>
      <c r="D494" s="2"/>
    </row>
    <row r="495" spans="3:4" ht="13.2" x14ac:dyDescent="0.25">
      <c r="C495" s="2"/>
      <c r="D495" s="2"/>
    </row>
    <row r="496" spans="3:4" ht="13.2" x14ac:dyDescent="0.25">
      <c r="C496" s="2"/>
      <c r="D496" s="2"/>
    </row>
    <row r="497" spans="3:4" ht="13.2" x14ac:dyDescent="0.25">
      <c r="C497" s="2"/>
      <c r="D497" s="2"/>
    </row>
    <row r="498" spans="3:4" ht="13.2" x14ac:dyDescent="0.25">
      <c r="C498" s="2"/>
      <c r="D498" s="2"/>
    </row>
    <row r="499" spans="3:4" ht="13.2" x14ac:dyDescent="0.25">
      <c r="C499" s="2"/>
      <c r="D499" s="2"/>
    </row>
    <row r="500" spans="3:4" ht="13.2" x14ac:dyDescent="0.25">
      <c r="C500" s="2"/>
      <c r="D500" s="2"/>
    </row>
    <row r="501" spans="3:4" ht="13.2" x14ac:dyDescent="0.25">
      <c r="C501" s="2"/>
      <c r="D501" s="2"/>
    </row>
    <row r="502" spans="3:4" ht="13.2" x14ac:dyDescent="0.25">
      <c r="C502" s="2"/>
      <c r="D502" s="2"/>
    </row>
    <row r="503" spans="3:4" ht="13.2" x14ac:dyDescent="0.25">
      <c r="C503" s="2"/>
      <c r="D503" s="2"/>
    </row>
    <row r="504" spans="3:4" ht="13.2" x14ac:dyDescent="0.25">
      <c r="C504" s="2"/>
      <c r="D504" s="2"/>
    </row>
    <row r="505" spans="3:4" ht="13.2" x14ac:dyDescent="0.25">
      <c r="C505" s="2"/>
      <c r="D505" s="2"/>
    </row>
    <row r="506" spans="3:4" ht="13.2" x14ac:dyDescent="0.25">
      <c r="C506" s="2"/>
      <c r="D506" s="2"/>
    </row>
    <row r="507" spans="3:4" ht="13.2" x14ac:dyDescent="0.25">
      <c r="C507" s="2"/>
      <c r="D507" s="2"/>
    </row>
    <row r="508" spans="3:4" ht="13.2" x14ac:dyDescent="0.25">
      <c r="C508" s="2"/>
      <c r="D508" s="2"/>
    </row>
    <row r="509" spans="3:4" ht="13.2" x14ac:dyDescent="0.25">
      <c r="C509" s="2"/>
      <c r="D509" s="2"/>
    </row>
    <row r="510" spans="3:4" ht="13.2" x14ac:dyDescent="0.25">
      <c r="C510" s="2"/>
      <c r="D510" s="2"/>
    </row>
    <row r="511" spans="3:4" ht="13.2" x14ac:dyDescent="0.25">
      <c r="C511" s="2"/>
      <c r="D511" s="2"/>
    </row>
    <row r="512" spans="3:4" ht="13.2" x14ac:dyDescent="0.25">
      <c r="C512" s="2"/>
      <c r="D512" s="2"/>
    </row>
    <row r="513" spans="3:4" ht="13.2" x14ac:dyDescent="0.25">
      <c r="C513" s="2"/>
      <c r="D513" s="2"/>
    </row>
    <row r="514" spans="3:4" ht="13.2" x14ac:dyDescent="0.25">
      <c r="C514" s="2"/>
      <c r="D514" s="2"/>
    </row>
    <row r="515" spans="3:4" ht="13.2" x14ac:dyDescent="0.25">
      <c r="C515" s="2"/>
      <c r="D515" s="2"/>
    </row>
    <row r="516" spans="3:4" ht="13.2" x14ac:dyDescent="0.25">
      <c r="C516" s="2"/>
      <c r="D516" s="2"/>
    </row>
    <row r="517" spans="3:4" ht="13.2" x14ac:dyDescent="0.25">
      <c r="C517" s="2"/>
      <c r="D517" s="2"/>
    </row>
    <row r="518" spans="3:4" ht="13.2" x14ac:dyDescent="0.25">
      <c r="C518" s="2"/>
      <c r="D518" s="2"/>
    </row>
    <row r="519" spans="3:4" ht="13.2" x14ac:dyDescent="0.25">
      <c r="C519" s="2"/>
      <c r="D519" s="2"/>
    </row>
    <row r="520" spans="3:4" ht="13.2" x14ac:dyDescent="0.25">
      <c r="C520" s="2"/>
      <c r="D520" s="2"/>
    </row>
    <row r="521" spans="3:4" ht="13.2" x14ac:dyDescent="0.25">
      <c r="C521" s="2"/>
      <c r="D521" s="2"/>
    </row>
    <row r="522" spans="3:4" ht="13.2" x14ac:dyDescent="0.25">
      <c r="C522" s="2"/>
      <c r="D522" s="2"/>
    </row>
    <row r="523" spans="3:4" ht="13.2" x14ac:dyDescent="0.25">
      <c r="C523" s="2"/>
      <c r="D523" s="2"/>
    </row>
    <row r="524" spans="3:4" ht="13.2" x14ac:dyDescent="0.25">
      <c r="C524" s="2"/>
      <c r="D524" s="2"/>
    </row>
    <row r="525" spans="3:4" ht="13.2" x14ac:dyDescent="0.25">
      <c r="C525" s="2"/>
      <c r="D525" s="2"/>
    </row>
    <row r="526" spans="3:4" ht="13.2" x14ac:dyDescent="0.25">
      <c r="C526" s="2"/>
      <c r="D526" s="2"/>
    </row>
    <row r="527" spans="3:4" ht="13.2" x14ac:dyDescent="0.25">
      <c r="C527" s="2"/>
      <c r="D527" s="2"/>
    </row>
    <row r="528" spans="3:4" ht="13.2" x14ac:dyDescent="0.25">
      <c r="C528" s="2"/>
      <c r="D528" s="2"/>
    </row>
    <row r="529" spans="3:4" ht="13.2" x14ac:dyDescent="0.25">
      <c r="C529" s="2"/>
      <c r="D529" s="2"/>
    </row>
    <row r="530" spans="3:4" ht="13.2" x14ac:dyDescent="0.25">
      <c r="C530" s="2"/>
      <c r="D530" s="2"/>
    </row>
    <row r="531" spans="3:4" ht="13.2" x14ac:dyDescent="0.25">
      <c r="C531" s="2"/>
      <c r="D531" s="2"/>
    </row>
    <row r="532" spans="3:4" ht="13.2" x14ac:dyDescent="0.25">
      <c r="C532" s="2"/>
      <c r="D532" s="2"/>
    </row>
    <row r="533" spans="3:4" ht="13.2" x14ac:dyDescent="0.25">
      <c r="C533" s="2"/>
      <c r="D533" s="2"/>
    </row>
    <row r="534" spans="3:4" ht="13.2" x14ac:dyDescent="0.25">
      <c r="C534" s="2"/>
      <c r="D534" s="2"/>
    </row>
    <row r="535" spans="3:4" ht="13.2" x14ac:dyDescent="0.25">
      <c r="C535" s="2"/>
      <c r="D535" s="2"/>
    </row>
    <row r="536" spans="3:4" ht="13.2" x14ac:dyDescent="0.25">
      <c r="C536" s="2"/>
      <c r="D536" s="2"/>
    </row>
    <row r="537" spans="3:4" ht="13.2" x14ac:dyDescent="0.25">
      <c r="C537" s="2"/>
      <c r="D537" s="2"/>
    </row>
    <row r="538" spans="3:4" ht="13.2" x14ac:dyDescent="0.25">
      <c r="C538" s="2"/>
      <c r="D538" s="2"/>
    </row>
    <row r="539" spans="3:4" ht="13.2" x14ac:dyDescent="0.25">
      <c r="C539" s="2"/>
      <c r="D539" s="2"/>
    </row>
    <row r="540" spans="3:4" ht="13.2" x14ac:dyDescent="0.25">
      <c r="C540" s="2"/>
      <c r="D540" s="2"/>
    </row>
    <row r="541" spans="3:4" ht="13.2" x14ac:dyDescent="0.25">
      <c r="C541" s="2"/>
      <c r="D541" s="2"/>
    </row>
    <row r="542" spans="3:4" ht="13.2" x14ac:dyDescent="0.25">
      <c r="C542" s="2"/>
      <c r="D542" s="2"/>
    </row>
    <row r="543" spans="3:4" ht="13.2" x14ac:dyDescent="0.25">
      <c r="C543" s="2"/>
      <c r="D543" s="2"/>
    </row>
    <row r="544" spans="3:4" ht="13.2" x14ac:dyDescent="0.25">
      <c r="C544" s="2"/>
      <c r="D544" s="2"/>
    </row>
    <row r="545" spans="3:4" ht="13.2" x14ac:dyDescent="0.25">
      <c r="C545" s="2"/>
      <c r="D545" s="2"/>
    </row>
    <row r="546" spans="3:4" ht="13.2" x14ac:dyDescent="0.25">
      <c r="C546" s="2"/>
      <c r="D546" s="2"/>
    </row>
    <row r="547" spans="3:4" ht="13.2" x14ac:dyDescent="0.25">
      <c r="C547" s="2"/>
      <c r="D547" s="2"/>
    </row>
    <row r="548" spans="3:4" ht="13.2" x14ac:dyDescent="0.25">
      <c r="C548" s="2"/>
      <c r="D548" s="2"/>
    </row>
    <row r="549" spans="3:4" ht="13.2" x14ac:dyDescent="0.25">
      <c r="C549" s="2"/>
      <c r="D549" s="2"/>
    </row>
    <row r="550" spans="3:4" ht="13.2" x14ac:dyDescent="0.25">
      <c r="C550" s="2"/>
      <c r="D550" s="2"/>
    </row>
    <row r="551" spans="3:4" ht="13.2" x14ac:dyDescent="0.25">
      <c r="C551" s="2"/>
      <c r="D551" s="2"/>
    </row>
    <row r="552" spans="3:4" ht="13.2" x14ac:dyDescent="0.25">
      <c r="C552" s="2"/>
      <c r="D552" s="2"/>
    </row>
    <row r="553" spans="3:4" ht="13.2" x14ac:dyDescent="0.25">
      <c r="C553" s="2"/>
      <c r="D553" s="2"/>
    </row>
    <row r="554" spans="3:4" ht="13.2" x14ac:dyDescent="0.25">
      <c r="C554" s="2"/>
      <c r="D554" s="2"/>
    </row>
    <row r="555" spans="3:4" ht="13.2" x14ac:dyDescent="0.25">
      <c r="C555" s="2"/>
      <c r="D555" s="2"/>
    </row>
    <row r="556" spans="3:4" ht="13.2" x14ac:dyDescent="0.25">
      <c r="C556" s="2"/>
      <c r="D556" s="2"/>
    </row>
    <row r="557" spans="3:4" ht="13.2" x14ac:dyDescent="0.25">
      <c r="C557" s="2"/>
      <c r="D557" s="2"/>
    </row>
    <row r="558" spans="3:4" ht="13.2" x14ac:dyDescent="0.25">
      <c r="C558" s="2"/>
      <c r="D558" s="2"/>
    </row>
    <row r="559" spans="3:4" ht="13.2" x14ac:dyDescent="0.25">
      <c r="C559" s="2"/>
      <c r="D559" s="2"/>
    </row>
    <row r="560" spans="3:4" ht="13.2" x14ac:dyDescent="0.25">
      <c r="C560" s="2"/>
      <c r="D560" s="2"/>
    </row>
    <row r="561" spans="3:4" ht="13.2" x14ac:dyDescent="0.25">
      <c r="C561" s="2"/>
      <c r="D561" s="2"/>
    </row>
    <row r="562" spans="3:4" ht="13.2" x14ac:dyDescent="0.25">
      <c r="C562" s="2"/>
      <c r="D562" s="2"/>
    </row>
    <row r="563" spans="3:4" ht="13.2" x14ac:dyDescent="0.25">
      <c r="C563" s="2"/>
      <c r="D563" s="2"/>
    </row>
    <row r="564" spans="3:4" ht="13.2" x14ac:dyDescent="0.25">
      <c r="C564" s="2"/>
      <c r="D564" s="2"/>
    </row>
    <row r="565" spans="3:4" ht="13.2" x14ac:dyDescent="0.25">
      <c r="C565" s="2"/>
      <c r="D565" s="2"/>
    </row>
    <row r="566" spans="3:4" ht="13.2" x14ac:dyDescent="0.25">
      <c r="C566" s="2"/>
      <c r="D566" s="2"/>
    </row>
    <row r="567" spans="3:4" ht="13.2" x14ac:dyDescent="0.25">
      <c r="C567" s="2"/>
      <c r="D567" s="2"/>
    </row>
    <row r="568" spans="3:4" ht="13.2" x14ac:dyDescent="0.25">
      <c r="C568" s="2"/>
      <c r="D568" s="2"/>
    </row>
    <row r="569" spans="3:4" ht="13.2" x14ac:dyDescent="0.25">
      <c r="C569" s="2"/>
      <c r="D569" s="2"/>
    </row>
    <row r="570" spans="3:4" ht="13.2" x14ac:dyDescent="0.25">
      <c r="C570" s="2"/>
      <c r="D570" s="2"/>
    </row>
    <row r="571" spans="3:4" ht="13.2" x14ac:dyDescent="0.25">
      <c r="C571" s="2"/>
      <c r="D571" s="2"/>
    </row>
    <row r="572" spans="3:4" ht="13.2" x14ac:dyDescent="0.25">
      <c r="C572" s="2"/>
      <c r="D572" s="2"/>
    </row>
    <row r="573" spans="3:4" ht="13.2" x14ac:dyDescent="0.25">
      <c r="C573" s="2"/>
      <c r="D573" s="2"/>
    </row>
    <row r="574" spans="3:4" ht="13.2" x14ac:dyDescent="0.25">
      <c r="C574" s="2"/>
      <c r="D574" s="2"/>
    </row>
    <row r="575" spans="3:4" ht="13.2" x14ac:dyDescent="0.25">
      <c r="C575" s="2"/>
      <c r="D575" s="2"/>
    </row>
    <row r="576" spans="3:4" ht="13.2" x14ac:dyDescent="0.25">
      <c r="C576" s="2"/>
      <c r="D576" s="2"/>
    </row>
    <row r="577" spans="3:4" ht="13.2" x14ac:dyDescent="0.25">
      <c r="C577" s="2"/>
      <c r="D577" s="2"/>
    </row>
    <row r="578" spans="3:4" ht="13.2" x14ac:dyDescent="0.25">
      <c r="C578" s="2"/>
      <c r="D578" s="2"/>
    </row>
    <row r="579" spans="3:4" ht="13.2" x14ac:dyDescent="0.25">
      <c r="C579" s="2"/>
      <c r="D579" s="2"/>
    </row>
    <row r="580" spans="3:4" ht="13.2" x14ac:dyDescent="0.25">
      <c r="C580" s="2"/>
      <c r="D580" s="2"/>
    </row>
    <row r="581" spans="3:4" ht="13.2" x14ac:dyDescent="0.25">
      <c r="C581" s="2"/>
      <c r="D581" s="2"/>
    </row>
    <row r="582" spans="3:4" ht="13.2" x14ac:dyDescent="0.25">
      <c r="C582" s="2"/>
      <c r="D582" s="2"/>
    </row>
    <row r="583" spans="3:4" ht="13.2" x14ac:dyDescent="0.25">
      <c r="C583" s="2"/>
      <c r="D583" s="2"/>
    </row>
    <row r="584" spans="3:4" ht="13.2" x14ac:dyDescent="0.25">
      <c r="C584" s="2"/>
      <c r="D584" s="2"/>
    </row>
    <row r="585" spans="3:4" ht="13.2" x14ac:dyDescent="0.25">
      <c r="C585" s="2"/>
      <c r="D585" s="2"/>
    </row>
    <row r="586" spans="3:4" ht="13.2" x14ac:dyDescent="0.25">
      <c r="C586" s="2"/>
      <c r="D586" s="2"/>
    </row>
    <row r="587" spans="3:4" ht="13.2" x14ac:dyDescent="0.25">
      <c r="C587" s="2"/>
      <c r="D587" s="2"/>
    </row>
    <row r="588" spans="3:4" ht="13.2" x14ac:dyDescent="0.25">
      <c r="C588" s="2"/>
      <c r="D588" s="2"/>
    </row>
    <row r="589" spans="3:4" ht="13.2" x14ac:dyDescent="0.25">
      <c r="C589" s="2"/>
      <c r="D589" s="2"/>
    </row>
    <row r="590" spans="3:4" ht="13.2" x14ac:dyDescent="0.25">
      <c r="C590" s="2"/>
      <c r="D590" s="2"/>
    </row>
    <row r="591" spans="3:4" ht="13.2" x14ac:dyDescent="0.25">
      <c r="C591" s="2"/>
      <c r="D591" s="2"/>
    </row>
    <row r="592" spans="3:4" ht="13.2" x14ac:dyDescent="0.25">
      <c r="C592" s="2"/>
      <c r="D592" s="2"/>
    </row>
    <row r="593" spans="3:4" ht="13.2" x14ac:dyDescent="0.25">
      <c r="C593" s="2"/>
      <c r="D593" s="2"/>
    </row>
    <row r="594" spans="3:4" ht="13.2" x14ac:dyDescent="0.25">
      <c r="C594" s="2"/>
      <c r="D594" s="2"/>
    </row>
    <row r="595" spans="3:4" ht="13.2" x14ac:dyDescent="0.25">
      <c r="C595" s="2"/>
      <c r="D595" s="2"/>
    </row>
    <row r="596" spans="3:4" ht="13.2" x14ac:dyDescent="0.25">
      <c r="C596" s="2"/>
      <c r="D596" s="2"/>
    </row>
    <row r="597" spans="3:4" ht="13.2" x14ac:dyDescent="0.25">
      <c r="C597" s="2"/>
      <c r="D597" s="2"/>
    </row>
    <row r="598" spans="3:4" ht="13.2" x14ac:dyDescent="0.25">
      <c r="C598" s="2"/>
      <c r="D598" s="2"/>
    </row>
    <row r="599" spans="3:4" ht="13.2" x14ac:dyDescent="0.25">
      <c r="C599" s="2"/>
      <c r="D599" s="2"/>
    </row>
    <row r="600" spans="3:4" ht="13.2" x14ac:dyDescent="0.25">
      <c r="C600" s="2"/>
      <c r="D600" s="2"/>
    </row>
    <row r="601" spans="3:4" ht="13.2" x14ac:dyDescent="0.25">
      <c r="C601" s="2"/>
      <c r="D601" s="2"/>
    </row>
    <row r="602" spans="3:4" ht="13.2" x14ac:dyDescent="0.25">
      <c r="C602" s="2"/>
      <c r="D602" s="2"/>
    </row>
    <row r="603" spans="3:4" ht="13.2" x14ac:dyDescent="0.25">
      <c r="C603" s="2"/>
      <c r="D603" s="2"/>
    </row>
    <row r="604" spans="3:4" ht="13.2" x14ac:dyDescent="0.25">
      <c r="C604" s="2"/>
      <c r="D604" s="2"/>
    </row>
    <row r="605" spans="3:4" ht="13.2" x14ac:dyDescent="0.25">
      <c r="C605" s="2"/>
      <c r="D605" s="2"/>
    </row>
    <row r="606" spans="3:4" ht="13.2" x14ac:dyDescent="0.25">
      <c r="C606" s="2"/>
      <c r="D606" s="2"/>
    </row>
    <row r="607" spans="3:4" ht="13.2" x14ac:dyDescent="0.25">
      <c r="C607" s="2"/>
      <c r="D607" s="2"/>
    </row>
    <row r="608" spans="3:4" ht="13.2" x14ac:dyDescent="0.25">
      <c r="C608" s="2"/>
      <c r="D608" s="2"/>
    </row>
    <row r="609" spans="3:4" ht="13.2" x14ac:dyDescent="0.25">
      <c r="C609" s="2"/>
      <c r="D609" s="2"/>
    </row>
    <row r="610" spans="3:4" ht="13.2" x14ac:dyDescent="0.25">
      <c r="C610" s="2"/>
      <c r="D610" s="2"/>
    </row>
    <row r="611" spans="3:4" ht="13.2" x14ac:dyDescent="0.25">
      <c r="C611" s="2"/>
      <c r="D611" s="2"/>
    </row>
    <row r="612" spans="3:4" ht="13.2" x14ac:dyDescent="0.25">
      <c r="C612" s="2"/>
      <c r="D612" s="2"/>
    </row>
    <row r="613" spans="3:4" ht="13.2" x14ac:dyDescent="0.25">
      <c r="C613" s="2"/>
      <c r="D613" s="2"/>
    </row>
    <row r="614" spans="3:4" ht="13.2" x14ac:dyDescent="0.25">
      <c r="C614" s="2"/>
      <c r="D614" s="2"/>
    </row>
    <row r="615" spans="3:4" ht="13.2" x14ac:dyDescent="0.25">
      <c r="C615" s="2"/>
      <c r="D615" s="2"/>
    </row>
    <row r="616" spans="3:4" ht="13.2" x14ac:dyDescent="0.25">
      <c r="C616" s="2"/>
      <c r="D616" s="2"/>
    </row>
    <row r="617" spans="3:4" ht="13.2" x14ac:dyDescent="0.25">
      <c r="C617" s="2"/>
      <c r="D617" s="2"/>
    </row>
    <row r="618" spans="3:4" ht="13.2" x14ac:dyDescent="0.25">
      <c r="C618" s="2"/>
      <c r="D618" s="2"/>
    </row>
    <row r="619" spans="3:4" ht="13.2" x14ac:dyDescent="0.25">
      <c r="C619" s="2"/>
      <c r="D619" s="2"/>
    </row>
    <row r="620" spans="3:4" ht="13.2" x14ac:dyDescent="0.25">
      <c r="C620" s="2"/>
      <c r="D620" s="2"/>
    </row>
    <row r="621" spans="3:4" ht="13.2" x14ac:dyDescent="0.25">
      <c r="C621" s="2"/>
      <c r="D621" s="2"/>
    </row>
    <row r="622" spans="3:4" ht="13.2" x14ac:dyDescent="0.25">
      <c r="C622" s="2"/>
      <c r="D622" s="2"/>
    </row>
    <row r="623" spans="3:4" ht="13.2" x14ac:dyDescent="0.25">
      <c r="C623" s="2"/>
      <c r="D623" s="2"/>
    </row>
    <row r="624" spans="3:4" ht="13.2" x14ac:dyDescent="0.25">
      <c r="C624" s="2"/>
      <c r="D624" s="2"/>
    </row>
    <row r="625" spans="3:4" ht="13.2" x14ac:dyDescent="0.25">
      <c r="C625" s="2"/>
      <c r="D625" s="2"/>
    </row>
    <row r="626" spans="3:4" ht="13.2" x14ac:dyDescent="0.25">
      <c r="C626" s="2"/>
      <c r="D626" s="2"/>
    </row>
    <row r="627" spans="3:4" ht="13.2" x14ac:dyDescent="0.25">
      <c r="C627" s="2"/>
      <c r="D627" s="2"/>
    </row>
    <row r="628" spans="3:4" ht="13.2" x14ac:dyDescent="0.25">
      <c r="C628" s="2"/>
      <c r="D628" s="2"/>
    </row>
    <row r="629" spans="3:4" ht="13.2" x14ac:dyDescent="0.25">
      <c r="C629" s="2"/>
      <c r="D629" s="2"/>
    </row>
    <row r="630" spans="3:4" ht="13.2" x14ac:dyDescent="0.25">
      <c r="C630" s="2"/>
      <c r="D630" s="2"/>
    </row>
    <row r="631" spans="3:4" ht="13.2" x14ac:dyDescent="0.25">
      <c r="C631" s="2"/>
      <c r="D631" s="2"/>
    </row>
    <row r="632" spans="3:4" ht="13.2" x14ac:dyDescent="0.25">
      <c r="C632" s="2"/>
      <c r="D632" s="2"/>
    </row>
    <row r="633" spans="3:4" ht="13.2" x14ac:dyDescent="0.25">
      <c r="C633" s="2"/>
      <c r="D633" s="2"/>
    </row>
    <row r="634" spans="3:4" ht="13.2" x14ac:dyDescent="0.25">
      <c r="C634" s="2"/>
      <c r="D634" s="2"/>
    </row>
    <row r="635" spans="3:4" ht="13.2" x14ac:dyDescent="0.25">
      <c r="C635" s="2"/>
      <c r="D635" s="2"/>
    </row>
    <row r="636" spans="3:4" ht="13.2" x14ac:dyDescent="0.25">
      <c r="C636" s="2"/>
      <c r="D636" s="2"/>
    </row>
    <row r="637" spans="3:4" ht="13.2" x14ac:dyDescent="0.25">
      <c r="C637" s="2"/>
      <c r="D637" s="2"/>
    </row>
    <row r="638" spans="3:4" ht="13.2" x14ac:dyDescent="0.25">
      <c r="C638" s="2"/>
      <c r="D638" s="2"/>
    </row>
    <row r="639" spans="3:4" ht="13.2" x14ac:dyDescent="0.25">
      <c r="C639" s="2"/>
      <c r="D639" s="2"/>
    </row>
    <row r="640" spans="3:4" ht="13.2" x14ac:dyDescent="0.25">
      <c r="C640" s="2"/>
      <c r="D640" s="2"/>
    </row>
    <row r="641" spans="3:4" ht="13.2" x14ac:dyDescent="0.25">
      <c r="C641" s="2"/>
      <c r="D641" s="2"/>
    </row>
    <row r="642" spans="3:4" ht="13.2" x14ac:dyDescent="0.25">
      <c r="C642" s="2"/>
      <c r="D642" s="2"/>
    </row>
    <row r="643" spans="3:4" ht="13.2" x14ac:dyDescent="0.25">
      <c r="C643" s="2"/>
      <c r="D643" s="2"/>
    </row>
    <row r="644" spans="3:4" ht="13.2" x14ac:dyDescent="0.25">
      <c r="C644" s="2"/>
      <c r="D644" s="2"/>
    </row>
    <row r="645" spans="3:4" ht="13.2" x14ac:dyDescent="0.25">
      <c r="C645" s="2"/>
      <c r="D645" s="2"/>
    </row>
    <row r="646" spans="3:4" ht="13.2" x14ac:dyDescent="0.25">
      <c r="C646" s="2"/>
      <c r="D646" s="2"/>
    </row>
    <row r="647" spans="3:4" ht="13.2" x14ac:dyDescent="0.25">
      <c r="C647" s="2"/>
      <c r="D647" s="2"/>
    </row>
    <row r="648" spans="3:4" ht="13.2" x14ac:dyDescent="0.25">
      <c r="C648" s="2"/>
      <c r="D648" s="2"/>
    </row>
    <row r="649" spans="3:4" ht="13.2" x14ac:dyDescent="0.25">
      <c r="C649" s="2"/>
      <c r="D649" s="2"/>
    </row>
    <row r="650" spans="3:4" ht="13.2" x14ac:dyDescent="0.25">
      <c r="C650" s="2"/>
      <c r="D650" s="2"/>
    </row>
    <row r="651" spans="3:4" ht="13.2" x14ac:dyDescent="0.25">
      <c r="C651" s="2"/>
      <c r="D651" s="2"/>
    </row>
    <row r="652" spans="3:4" ht="13.2" x14ac:dyDescent="0.25">
      <c r="C652" s="2"/>
      <c r="D652" s="2"/>
    </row>
    <row r="653" spans="3:4" ht="13.2" x14ac:dyDescent="0.25">
      <c r="C653" s="2"/>
      <c r="D653" s="2"/>
    </row>
    <row r="654" spans="3:4" ht="13.2" x14ac:dyDescent="0.25">
      <c r="C654" s="2"/>
      <c r="D654" s="2"/>
    </row>
    <row r="655" spans="3:4" ht="13.2" x14ac:dyDescent="0.25">
      <c r="C655" s="2"/>
      <c r="D655" s="2"/>
    </row>
    <row r="656" spans="3:4" ht="13.2" x14ac:dyDescent="0.25">
      <c r="C656" s="2"/>
      <c r="D656" s="2"/>
    </row>
    <row r="657" spans="3:4" ht="13.2" x14ac:dyDescent="0.25">
      <c r="C657" s="2"/>
      <c r="D657" s="2"/>
    </row>
    <row r="658" spans="3:4" ht="13.2" x14ac:dyDescent="0.25">
      <c r="C658" s="2"/>
      <c r="D658" s="2"/>
    </row>
    <row r="659" spans="3:4" ht="13.2" x14ac:dyDescent="0.25">
      <c r="C659" s="2"/>
      <c r="D659" s="2"/>
    </row>
    <row r="660" spans="3:4" ht="13.2" x14ac:dyDescent="0.25">
      <c r="C660" s="2"/>
      <c r="D660" s="2"/>
    </row>
    <row r="661" spans="3:4" ht="13.2" x14ac:dyDescent="0.25">
      <c r="C661" s="2"/>
      <c r="D661" s="2"/>
    </row>
    <row r="662" spans="3:4" ht="13.2" x14ac:dyDescent="0.25">
      <c r="C662" s="2"/>
      <c r="D662" s="2"/>
    </row>
    <row r="663" spans="3:4" ht="13.2" x14ac:dyDescent="0.25">
      <c r="C663" s="2"/>
      <c r="D663" s="2"/>
    </row>
    <row r="664" spans="3:4" ht="13.2" x14ac:dyDescent="0.25">
      <c r="C664" s="2"/>
      <c r="D664" s="2"/>
    </row>
    <row r="665" spans="3:4" ht="13.2" x14ac:dyDescent="0.25">
      <c r="C665" s="2"/>
      <c r="D665" s="2"/>
    </row>
    <row r="666" spans="3:4" ht="13.2" x14ac:dyDescent="0.25">
      <c r="C666" s="2"/>
      <c r="D666" s="2"/>
    </row>
    <row r="667" spans="3:4" ht="13.2" x14ac:dyDescent="0.25">
      <c r="C667" s="2"/>
      <c r="D667" s="2"/>
    </row>
    <row r="668" spans="3:4" ht="13.2" x14ac:dyDescent="0.25">
      <c r="C668" s="2"/>
      <c r="D668" s="2"/>
    </row>
    <row r="669" spans="3:4" ht="13.2" x14ac:dyDescent="0.25">
      <c r="C669" s="2"/>
      <c r="D669" s="2"/>
    </row>
    <row r="670" spans="3:4" ht="13.2" x14ac:dyDescent="0.25">
      <c r="C670" s="2"/>
      <c r="D670" s="2"/>
    </row>
    <row r="671" spans="3:4" ht="13.2" x14ac:dyDescent="0.25">
      <c r="C671" s="2"/>
      <c r="D671" s="2"/>
    </row>
    <row r="672" spans="3:4" ht="13.2" x14ac:dyDescent="0.25">
      <c r="C672" s="2"/>
      <c r="D672" s="2"/>
    </row>
    <row r="673" spans="3:4" ht="13.2" x14ac:dyDescent="0.25">
      <c r="C673" s="2"/>
      <c r="D673" s="2"/>
    </row>
    <row r="674" spans="3:4" ht="13.2" x14ac:dyDescent="0.25">
      <c r="C674" s="2"/>
      <c r="D674" s="2"/>
    </row>
    <row r="675" spans="3:4" ht="13.2" x14ac:dyDescent="0.25">
      <c r="C675" s="2"/>
      <c r="D675" s="2"/>
    </row>
    <row r="676" spans="3:4" ht="13.2" x14ac:dyDescent="0.25">
      <c r="C676" s="2"/>
      <c r="D676" s="2"/>
    </row>
    <row r="677" spans="3:4" ht="13.2" x14ac:dyDescent="0.25">
      <c r="C677" s="2"/>
      <c r="D677" s="2"/>
    </row>
    <row r="678" spans="3:4" ht="13.2" x14ac:dyDescent="0.25">
      <c r="C678" s="2"/>
      <c r="D678" s="2"/>
    </row>
    <row r="679" spans="3:4" ht="13.2" x14ac:dyDescent="0.25">
      <c r="C679" s="2"/>
      <c r="D679" s="2"/>
    </row>
    <row r="680" spans="3:4" ht="13.2" x14ac:dyDescent="0.25">
      <c r="C680" s="2"/>
      <c r="D680" s="2"/>
    </row>
    <row r="681" spans="3:4" ht="13.2" x14ac:dyDescent="0.25">
      <c r="C681" s="2"/>
      <c r="D681" s="2"/>
    </row>
    <row r="682" spans="3:4" ht="13.2" x14ac:dyDescent="0.25">
      <c r="C682" s="2"/>
      <c r="D682" s="2"/>
    </row>
    <row r="683" spans="3:4" ht="13.2" x14ac:dyDescent="0.25">
      <c r="C683" s="2"/>
      <c r="D683" s="2"/>
    </row>
    <row r="684" spans="3:4" ht="13.2" x14ac:dyDescent="0.25">
      <c r="C684" s="2"/>
      <c r="D684" s="2"/>
    </row>
    <row r="685" spans="3:4" ht="13.2" x14ac:dyDescent="0.25">
      <c r="C685" s="2"/>
      <c r="D685" s="2"/>
    </row>
    <row r="686" spans="3:4" ht="13.2" x14ac:dyDescent="0.25">
      <c r="C686" s="2"/>
      <c r="D686" s="2"/>
    </row>
    <row r="687" spans="3:4" ht="13.2" x14ac:dyDescent="0.25">
      <c r="C687" s="2"/>
      <c r="D687" s="2"/>
    </row>
    <row r="688" spans="3:4" ht="13.2" x14ac:dyDescent="0.25">
      <c r="C688" s="2"/>
      <c r="D688" s="2"/>
    </row>
    <row r="689" spans="3:4" ht="13.2" x14ac:dyDescent="0.25">
      <c r="C689" s="2"/>
      <c r="D689" s="2"/>
    </row>
    <row r="690" spans="3:4" ht="13.2" x14ac:dyDescent="0.25">
      <c r="C690" s="2"/>
      <c r="D690" s="2"/>
    </row>
    <row r="691" spans="3:4" ht="13.2" x14ac:dyDescent="0.25">
      <c r="C691" s="2"/>
      <c r="D691" s="2"/>
    </row>
    <row r="692" spans="3:4" ht="13.2" x14ac:dyDescent="0.25">
      <c r="C692" s="2"/>
      <c r="D692" s="2"/>
    </row>
    <row r="693" spans="3:4" ht="13.2" x14ac:dyDescent="0.25">
      <c r="C693" s="2"/>
      <c r="D693" s="2"/>
    </row>
    <row r="694" spans="3:4" ht="13.2" x14ac:dyDescent="0.25">
      <c r="C694" s="2"/>
      <c r="D694" s="2"/>
    </row>
    <row r="695" spans="3:4" ht="13.2" x14ac:dyDescent="0.25">
      <c r="C695" s="2"/>
      <c r="D695" s="2"/>
    </row>
    <row r="696" spans="3:4" ht="13.2" x14ac:dyDescent="0.25">
      <c r="C696" s="2"/>
      <c r="D696" s="2"/>
    </row>
    <row r="697" spans="3:4" ht="13.2" x14ac:dyDescent="0.25">
      <c r="C697" s="2"/>
      <c r="D697" s="2"/>
    </row>
    <row r="698" spans="3:4" ht="13.2" x14ac:dyDescent="0.25">
      <c r="C698" s="2"/>
      <c r="D698" s="2"/>
    </row>
    <row r="699" spans="3:4" ht="13.2" x14ac:dyDescent="0.25">
      <c r="C699" s="2"/>
      <c r="D699" s="2"/>
    </row>
    <row r="700" spans="3:4" ht="13.2" x14ac:dyDescent="0.25">
      <c r="C700" s="2"/>
      <c r="D700" s="2"/>
    </row>
    <row r="701" spans="3:4" ht="13.2" x14ac:dyDescent="0.25">
      <c r="C701" s="2"/>
      <c r="D701" s="2"/>
    </row>
    <row r="702" spans="3:4" ht="13.2" x14ac:dyDescent="0.25">
      <c r="C702" s="2"/>
      <c r="D702" s="2"/>
    </row>
    <row r="703" spans="3:4" ht="13.2" x14ac:dyDescent="0.25">
      <c r="C703" s="2"/>
      <c r="D703" s="2"/>
    </row>
    <row r="704" spans="3:4" ht="13.2" x14ac:dyDescent="0.25">
      <c r="C704" s="2"/>
      <c r="D704" s="2"/>
    </row>
    <row r="705" spans="3:4" ht="13.2" x14ac:dyDescent="0.25">
      <c r="C705" s="2"/>
      <c r="D705" s="2"/>
    </row>
    <row r="706" spans="3:4" ht="13.2" x14ac:dyDescent="0.25">
      <c r="C706" s="2"/>
      <c r="D706" s="2"/>
    </row>
    <row r="707" spans="3:4" ht="13.2" x14ac:dyDescent="0.25">
      <c r="C707" s="2"/>
      <c r="D707" s="2"/>
    </row>
    <row r="708" spans="3:4" ht="13.2" x14ac:dyDescent="0.25">
      <c r="C708" s="2"/>
      <c r="D708" s="2"/>
    </row>
    <row r="709" spans="3:4" ht="13.2" x14ac:dyDescent="0.25">
      <c r="C709" s="2"/>
      <c r="D709" s="2"/>
    </row>
    <row r="710" spans="3:4" ht="13.2" x14ac:dyDescent="0.25">
      <c r="C710" s="2"/>
      <c r="D710" s="2"/>
    </row>
    <row r="711" spans="3:4" ht="13.2" x14ac:dyDescent="0.25">
      <c r="C711" s="2"/>
      <c r="D711" s="2"/>
    </row>
    <row r="712" spans="3:4" ht="13.2" x14ac:dyDescent="0.25">
      <c r="C712" s="2"/>
      <c r="D712" s="2"/>
    </row>
    <row r="713" spans="3:4" ht="13.2" x14ac:dyDescent="0.25">
      <c r="C713" s="2"/>
      <c r="D713" s="2"/>
    </row>
    <row r="714" spans="3:4" ht="13.2" x14ac:dyDescent="0.25">
      <c r="C714" s="2"/>
      <c r="D714" s="2"/>
    </row>
    <row r="715" spans="3:4" ht="13.2" x14ac:dyDescent="0.25">
      <c r="C715" s="2"/>
      <c r="D715" s="2"/>
    </row>
    <row r="716" spans="3:4" ht="13.2" x14ac:dyDescent="0.25">
      <c r="C716" s="2"/>
      <c r="D716" s="2"/>
    </row>
    <row r="717" spans="3:4" ht="13.2" x14ac:dyDescent="0.25">
      <c r="C717" s="2"/>
      <c r="D717" s="2"/>
    </row>
    <row r="718" spans="3:4" ht="13.2" x14ac:dyDescent="0.25">
      <c r="C718" s="2"/>
      <c r="D718" s="2"/>
    </row>
    <row r="719" spans="3:4" ht="13.2" x14ac:dyDescent="0.25">
      <c r="C719" s="2"/>
      <c r="D719" s="2"/>
    </row>
    <row r="720" spans="3:4" ht="13.2" x14ac:dyDescent="0.25">
      <c r="C720" s="2"/>
      <c r="D720" s="2"/>
    </row>
    <row r="721" spans="3:4" ht="13.2" x14ac:dyDescent="0.25">
      <c r="C721" s="2"/>
      <c r="D721" s="2"/>
    </row>
    <row r="722" spans="3:4" ht="13.2" x14ac:dyDescent="0.25">
      <c r="C722" s="2"/>
      <c r="D722" s="2"/>
    </row>
    <row r="723" spans="3:4" ht="13.2" x14ac:dyDescent="0.25">
      <c r="C723" s="2"/>
      <c r="D723" s="2"/>
    </row>
    <row r="724" spans="3:4" ht="13.2" x14ac:dyDescent="0.25">
      <c r="C724" s="2"/>
      <c r="D724" s="2"/>
    </row>
    <row r="725" spans="3:4" ht="13.2" x14ac:dyDescent="0.25">
      <c r="C725" s="2"/>
      <c r="D725" s="2"/>
    </row>
    <row r="726" spans="3:4" ht="13.2" x14ac:dyDescent="0.25">
      <c r="C726" s="2"/>
      <c r="D726" s="2"/>
    </row>
    <row r="727" spans="3:4" ht="13.2" x14ac:dyDescent="0.25">
      <c r="C727" s="2"/>
      <c r="D727" s="2"/>
    </row>
    <row r="728" spans="3:4" ht="13.2" x14ac:dyDescent="0.25">
      <c r="C728" s="2"/>
      <c r="D728" s="2"/>
    </row>
    <row r="729" spans="3:4" ht="13.2" x14ac:dyDescent="0.25">
      <c r="C729" s="2"/>
      <c r="D729" s="2"/>
    </row>
    <row r="730" spans="3:4" ht="13.2" x14ac:dyDescent="0.25">
      <c r="C730" s="2"/>
      <c r="D730" s="2"/>
    </row>
    <row r="731" spans="3:4" ht="13.2" x14ac:dyDescent="0.25">
      <c r="C731" s="2"/>
      <c r="D731" s="2"/>
    </row>
    <row r="732" spans="3:4" ht="13.2" x14ac:dyDescent="0.25">
      <c r="C732" s="2"/>
      <c r="D732" s="2"/>
    </row>
    <row r="733" spans="3:4" ht="13.2" x14ac:dyDescent="0.25">
      <c r="C733" s="2"/>
      <c r="D733" s="2"/>
    </row>
    <row r="734" spans="3:4" ht="13.2" x14ac:dyDescent="0.25">
      <c r="C734" s="2"/>
      <c r="D734" s="2"/>
    </row>
    <row r="735" spans="3:4" ht="13.2" x14ac:dyDescent="0.25">
      <c r="C735" s="2"/>
      <c r="D735" s="2"/>
    </row>
    <row r="736" spans="3:4" ht="13.2" x14ac:dyDescent="0.25">
      <c r="C736" s="2"/>
      <c r="D736" s="2"/>
    </row>
    <row r="737" spans="3:4" ht="13.2" x14ac:dyDescent="0.25">
      <c r="C737" s="2"/>
      <c r="D737" s="2"/>
    </row>
    <row r="738" spans="3:4" ht="13.2" x14ac:dyDescent="0.25">
      <c r="C738" s="2"/>
      <c r="D738" s="2"/>
    </row>
    <row r="739" spans="3:4" ht="13.2" x14ac:dyDescent="0.25">
      <c r="C739" s="2"/>
      <c r="D739" s="2"/>
    </row>
    <row r="740" spans="3:4" ht="13.2" x14ac:dyDescent="0.25">
      <c r="C740" s="2"/>
      <c r="D740" s="2"/>
    </row>
    <row r="741" spans="3:4" ht="13.2" x14ac:dyDescent="0.25">
      <c r="C741" s="2"/>
      <c r="D741" s="2"/>
    </row>
    <row r="742" spans="3:4" ht="13.2" x14ac:dyDescent="0.25">
      <c r="C742" s="2"/>
      <c r="D742" s="2"/>
    </row>
    <row r="743" spans="3:4" ht="13.2" x14ac:dyDescent="0.25">
      <c r="C743" s="2"/>
      <c r="D743" s="2"/>
    </row>
    <row r="744" spans="3:4" ht="13.2" x14ac:dyDescent="0.25">
      <c r="C744" s="2"/>
      <c r="D744" s="2"/>
    </row>
    <row r="745" spans="3:4" ht="13.2" x14ac:dyDescent="0.25">
      <c r="C745" s="2"/>
      <c r="D745" s="2"/>
    </row>
    <row r="746" spans="3:4" ht="13.2" x14ac:dyDescent="0.25">
      <c r="C746" s="2"/>
      <c r="D746" s="2"/>
    </row>
    <row r="747" spans="3:4" ht="13.2" x14ac:dyDescent="0.25">
      <c r="C747" s="2"/>
      <c r="D747" s="2"/>
    </row>
    <row r="748" spans="3:4" ht="13.2" x14ac:dyDescent="0.25">
      <c r="C748" s="2"/>
      <c r="D748" s="2"/>
    </row>
    <row r="749" spans="3:4" ht="13.2" x14ac:dyDescent="0.25">
      <c r="C749" s="2"/>
      <c r="D749" s="2"/>
    </row>
    <row r="750" spans="3:4" ht="13.2" x14ac:dyDescent="0.25">
      <c r="C750" s="2"/>
      <c r="D750" s="2"/>
    </row>
    <row r="751" spans="3:4" ht="13.2" x14ac:dyDescent="0.25">
      <c r="C751" s="2"/>
      <c r="D751" s="2"/>
    </row>
    <row r="752" spans="3:4" ht="13.2" x14ac:dyDescent="0.25">
      <c r="C752" s="2"/>
      <c r="D752" s="2"/>
    </row>
    <row r="753" spans="3:4" ht="13.2" x14ac:dyDescent="0.25">
      <c r="C753" s="2"/>
      <c r="D753" s="2"/>
    </row>
    <row r="754" spans="3:4" ht="13.2" x14ac:dyDescent="0.25">
      <c r="C754" s="2"/>
      <c r="D754" s="2"/>
    </row>
    <row r="755" spans="3:4" ht="13.2" x14ac:dyDescent="0.25">
      <c r="C755" s="2"/>
      <c r="D755" s="2"/>
    </row>
    <row r="756" spans="3:4" ht="13.2" x14ac:dyDescent="0.25">
      <c r="C756" s="2"/>
      <c r="D756" s="2"/>
    </row>
    <row r="757" spans="3:4" ht="13.2" x14ac:dyDescent="0.25">
      <c r="C757" s="2"/>
      <c r="D757" s="2"/>
    </row>
    <row r="758" spans="3:4" ht="13.2" x14ac:dyDescent="0.25">
      <c r="C758" s="2"/>
      <c r="D758" s="2"/>
    </row>
    <row r="759" spans="3:4" ht="13.2" x14ac:dyDescent="0.25">
      <c r="C759" s="2"/>
      <c r="D759" s="2"/>
    </row>
    <row r="760" spans="3:4" ht="13.2" x14ac:dyDescent="0.25">
      <c r="C760" s="2"/>
      <c r="D760" s="2"/>
    </row>
    <row r="761" spans="3:4" ht="13.2" x14ac:dyDescent="0.25">
      <c r="C761" s="2"/>
      <c r="D761" s="2"/>
    </row>
    <row r="762" spans="3:4" ht="13.2" x14ac:dyDescent="0.25">
      <c r="C762" s="2"/>
      <c r="D762" s="2"/>
    </row>
    <row r="763" spans="3:4" ht="13.2" x14ac:dyDescent="0.25">
      <c r="C763" s="2"/>
      <c r="D763" s="2"/>
    </row>
    <row r="764" spans="3:4" ht="13.2" x14ac:dyDescent="0.25">
      <c r="C764" s="2"/>
      <c r="D764" s="2"/>
    </row>
    <row r="765" spans="3:4" ht="13.2" x14ac:dyDescent="0.25">
      <c r="C765" s="2"/>
      <c r="D765" s="2"/>
    </row>
    <row r="766" spans="3:4" ht="13.2" x14ac:dyDescent="0.25">
      <c r="C766" s="2"/>
      <c r="D766" s="2"/>
    </row>
    <row r="767" spans="3:4" ht="13.2" x14ac:dyDescent="0.25">
      <c r="C767" s="2"/>
      <c r="D767" s="2"/>
    </row>
    <row r="768" spans="3:4" ht="13.2" x14ac:dyDescent="0.25">
      <c r="C768" s="2"/>
      <c r="D768" s="2"/>
    </row>
    <row r="769" spans="3:4" ht="13.2" x14ac:dyDescent="0.25">
      <c r="C769" s="2"/>
      <c r="D769" s="2"/>
    </row>
    <row r="770" spans="3:4" ht="13.2" x14ac:dyDescent="0.25">
      <c r="C770" s="2"/>
      <c r="D770" s="2"/>
    </row>
    <row r="771" spans="3:4" ht="13.2" x14ac:dyDescent="0.25">
      <c r="C771" s="2"/>
      <c r="D771" s="2"/>
    </row>
    <row r="772" spans="3:4" ht="13.2" x14ac:dyDescent="0.25">
      <c r="C772" s="2"/>
      <c r="D772" s="2"/>
    </row>
    <row r="773" spans="3:4" ht="13.2" x14ac:dyDescent="0.25">
      <c r="C773" s="2"/>
      <c r="D773" s="2"/>
    </row>
    <row r="774" spans="3:4" ht="13.2" x14ac:dyDescent="0.25">
      <c r="C774" s="2"/>
      <c r="D774" s="2"/>
    </row>
    <row r="775" spans="3:4" ht="13.2" x14ac:dyDescent="0.25">
      <c r="C775" s="2"/>
      <c r="D775" s="2"/>
    </row>
    <row r="776" spans="3:4" ht="13.2" x14ac:dyDescent="0.25">
      <c r="C776" s="2"/>
      <c r="D776" s="2"/>
    </row>
    <row r="777" spans="3:4" ht="13.2" x14ac:dyDescent="0.25">
      <c r="C777" s="2"/>
      <c r="D777" s="2"/>
    </row>
    <row r="778" spans="3:4" ht="13.2" x14ac:dyDescent="0.25">
      <c r="C778" s="2"/>
      <c r="D778" s="2"/>
    </row>
    <row r="779" spans="3:4" ht="13.2" x14ac:dyDescent="0.25">
      <c r="C779" s="2"/>
      <c r="D779" s="2"/>
    </row>
    <row r="780" spans="3:4" ht="13.2" x14ac:dyDescent="0.25">
      <c r="C780" s="2"/>
      <c r="D780" s="2"/>
    </row>
    <row r="781" spans="3:4" ht="13.2" x14ac:dyDescent="0.25">
      <c r="C781" s="2"/>
      <c r="D781" s="2"/>
    </row>
    <row r="782" spans="3:4" ht="13.2" x14ac:dyDescent="0.25">
      <c r="C782" s="2"/>
      <c r="D782" s="2"/>
    </row>
    <row r="783" spans="3:4" ht="13.2" x14ac:dyDescent="0.25">
      <c r="C783" s="2"/>
      <c r="D783" s="2"/>
    </row>
    <row r="784" spans="3:4" ht="13.2" x14ac:dyDescent="0.25">
      <c r="C784" s="2"/>
      <c r="D784" s="2"/>
    </row>
    <row r="785" spans="3:4" ht="13.2" x14ac:dyDescent="0.25">
      <c r="C785" s="2"/>
      <c r="D785" s="2"/>
    </row>
    <row r="786" spans="3:4" ht="13.2" x14ac:dyDescent="0.25">
      <c r="C786" s="2"/>
      <c r="D786" s="2"/>
    </row>
    <row r="787" spans="3:4" ht="13.2" x14ac:dyDescent="0.25">
      <c r="C787" s="2"/>
      <c r="D787" s="2"/>
    </row>
    <row r="788" spans="3:4" ht="13.2" x14ac:dyDescent="0.25">
      <c r="C788" s="2"/>
      <c r="D788" s="2"/>
    </row>
    <row r="789" spans="3:4" ht="13.2" x14ac:dyDescent="0.25">
      <c r="C789" s="2"/>
      <c r="D789" s="2"/>
    </row>
    <row r="790" spans="3:4" ht="13.2" x14ac:dyDescent="0.25">
      <c r="C790" s="2"/>
      <c r="D790" s="2"/>
    </row>
    <row r="791" spans="3:4" ht="13.2" x14ac:dyDescent="0.25">
      <c r="C791" s="2"/>
      <c r="D791" s="2"/>
    </row>
    <row r="792" spans="3:4" ht="13.2" x14ac:dyDescent="0.25">
      <c r="C792" s="2"/>
      <c r="D792" s="2"/>
    </row>
    <row r="793" spans="3:4" ht="13.2" x14ac:dyDescent="0.25">
      <c r="C793" s="2"/>
      <c r="D793" s="2"/>
    </row>
    <row r="794" spans="3:4" ht="13.2" x14ac:dyDescent="0.25">
      <c r="C794" s="2"/>
      <c r="D794" s="2"/>
    </row>
    <row r="795" spans="3:4" ht="13.2" x14ac:dyDescent="0.25">
      <c r="C795" s="2"/>
      <c r="D795" s="2"/>
    </row>
    <row r="796" spans="3:4" ht="13.2" x14ac:dyDescent="0.25">
      <c r="C796" s="2"/>
      <c r="D796" s="2"/>
    </row>
    <row r="797" spans="3:4" ht="13.2" x14ac:dyDescent="0.25">
      <c r="C797" s="2"/>
      <c r="D797" s="2"/>
    </row>
    <row r="798" spans="3:4" ht="13.2" x14ac:dyDescent="0.25">
      <c r="C798" s="2"/>
      <c r="D798" s="2"/>
    </row>
    <row r="799" spans="3:4" ht="13.2" x14ac:dyDescent="0.25">
      <c r="C799" s="2"/>
      <c r="D799" s="2"/>
    </row>
    <row r="800" spans="3:4" ht="13.2" x14ac:dyDescent="0.25">
      <c r="C800" s="2"/>
      <c r="D800" s="2"/>
    </row>
    <row r="801" spans="3:4" ht="13.2" x14ac:dyDescent="0.25">
      <c r="C801" s="2"/>
      <c r="D801" s="2"/>
    </row>
    <row r="802" spans="3:4" ht="13.2" x14ac:dyDescent="0.25">
      <c r="C802" s="2"/>
      <c r="D802" s="2"/>
    </row>
    <row r="803" spans="3:4" ht="13.2" x14ac:dyDescent="0.25">
      <c r="C803" s="2"/>
      <c r="D803" s="2"/>
    </row>
    <row r="804" spans="3:4" ht="13.2" x14ac:dyDescent="0.25">
      <c r="C804" s="2"/>
      <c r="D804" s="2"/>
    </row>
    <row r="805" spans="3:4" ht="13.2" x14ac:dyDescent="0.25">
      <c r="C805" s="2"/>
      <c r="D805" s="2"/>
    </row>
    <row r="806" spans="3:4" ht="13.2" x14ac:dyDescent="0.25">
      <c r="C806" s="2"/>
      <c r="D806" s="2"/>
    </row>
    <row r="807" spans="3:4" ht="13.2" x14ac:dyDescent="0.25">
      <c r="C807" s="2"/>
      <c r="D807" s="2"/>
    </row>
    <row r="808" spans="3:4" ht="13.2" x14ac:dyDescent="0.25">
      <c r="C808" s="2"/>
      <c r="D808" s="2"/>
    </row>
    <row r="809" spans="3:4" ht="13.2" x14ac:dyDescent="0.25">
      <c r="C809" s="2"/>
      <c r="D809" s="2"/>
    </row>
    <row r="810" spans="3:4" ht="13.2" x14ac:dyDescent="0.25">
      <c r="C810" s="2"/>
      <c r="D810" s="2"/>
    </row>
    <row r="811" spans="3:4" ht="13.2" x14ac:dyDescent="0.25">
      <c r="C811" s="2"/>
      <c r="D811" s="2"/>
    </row>
    <row r="812" spans="3:4" ht="13.2" x14ac:dyDescent="0.25">
      <c r="C812" s="2"/>
      <c r="D812" s="2"/>
    </row>
    <row r="813" spans="3:4" ht="13.2" x14ac:dyDescent="0.25">
      <c r="C813" s="2"/>
      <c r="D813" s="2"/>
    </row>
    <row r="814" spans="3:4" ht="13.2" x14ac:dyDescent="0.25">
      <c r="C814" s="2"/>
      <c r="D814" s="2"/>
    </row>
    <row r="815" spans="3:4" ht="13.2" x14ac:dyDescent="0.25">
      <c r="C815" s="2"/>
      <c r="D815" s="2"/>
    </row>
    <row r="816" spans="3:4" ht="13.2" x14ac:dyDescent="0.25">
      <c r="C816" s="2"/>
      <c r="D816" s="2"/>
    </row>
    <row r="817" spans="3:4" ht="13.2" x14ac:dyDescent="0.25">
      <c r="C817" s="2"/>
      <c r="D817" s="2"/>
    </row>
    <row r="818" spans="3:4" ht="13.2" x14ac:dyDescent="0.25">
      <c r="C818" s="2"/>
      <c r="D818" s="2"/>
    </row>
    <row r="819" spans="3:4" ht="13.2" x14ac:dyDescent="0.25">
      <c r="C819" s="2"/>
      <c r="D819" s="2"/>
    </row>
    <row r="820" spans="3:4" ht="13.2" x14ac:dyDescent="0.25">
      <c r="C820" s="2"/>
      <c r="D820" s="2"/>
    </row>
    <row r="821" spans="3:4" ht="13.2" x14ac:dyDescent="0.25">
      <c r="C821" s="2"/>
      <c r="D821" s="2"/>
    </row>
    <row r="822" spans="3:4" ht="13.2" x14ac:dyDescent="0.25">
      <c r="C822" s="2"/>
      <c r="D822" s="2"/>
    </row>
    <row r="823" spans="3:4" ht="13.2" x14ac:dyDescent="0.25">
      <c r="C823" s="2"/>
      <c r="D823" s="2"/>
    </row>
    <row r="824" spans="3:4" ht="13.2" x14ac:dyDescent="0.25">
      <c r="C824" s="2"/>
      <c r="D824" s="2"/>
    </row>
    <row r="825" spans="3:4" ht="13.2" x14ac:dyDescent="0.25">
      <c r="C825" s="2"/>
      <c r="D825" s="2"/>
    </row>
    <row r="826" spans="3:4" ht="13.2" x14ac:dyDescent="0.25">
      <c r="C826" s="2"/>
      <c r="D826" s="2"/>
    </row>
    <row r="827" spans="3:4" ht="13.2" x14ac:dyDescent="0.25">
      <c r="C827" s="2"/>
      <c r="D827" s="2"/>
    </row>
    <row r="828" spans="3:4" ht="13.2" x14ac:dyDescent="0.25">
      <c r="C828" s="2"/>
      <c r="D828" s="2"/>
    </row>
    <row r="829" spans="3:4" ht="13.2" x14ac:dyDescent="0.25">
      <c r="C829" s="2"/>
      <c r="D829" s="2"/>
    </row>
    <row r="830" spans="3:4" ht="13.2" x14ac:dyDescent="0.25">
      <c r="C830" s="2"/>
      <c r="D830" s="2"/>
    </row>
    <row r="831" spans="3:4" ht="13.2" x14ac:dyDescent="0.25">
      <c r="C831" s="2"/>
      <c r="D831" s="2"/>
    </row>
    <row r="832" spans="3:4" ht="13.2" x14ac:dyDescent="0.25">
      <c r="C832" s="2"/>
      <c r="D832" s="2"/>
    </row>
    <row r="833" spans="3:4" ht="13.2" x14ac:dyDescent="0.25">
      <c r="C833" s="2"/>
      <c r="D833" s="2"/>
    </row>
    <row r="834" spans="3:4" ht="13.2" x14ac:dyDescent="0.25">
      <c r="C834" s="2"/>
      <c r="D834" s="2"/>
    </row>
    <row r="835" spans="3:4" ht="13.2" x14ac:dyDescent="0.25">
      <c r="C835" s="2"/>
      <c r="D835" s="2"/>
    </row>
    <row r="836" spans="3:4" ht="13.2" x14ac:dyDescent="0.25">
      <c r="C836" s="2"/>
      <c r="D836" s="2"/>
    </row>
    <row r="837" spans="3:4" ht="13.2" x14ac:dyDescent="0.25">
      <c r="C837" s="2"/>
      <c r="D837" s="2"/>
    </row>
    <row r="838" spans="3:4" ht="13.2" x14ac:dyDescent="0.25">
      <c r="C838" s="2"/>
      <c r="D838" s="2"/>
    </row>
    <row r="839" spans="3:4" ht="13.2" x14ac:dyDescent="0.25">
      <c r="C839" s="2"/>
      <c r="D839" s="2"/>
    </row>
    <row r="840" spans="3:4" ht="13.2" x14ac:dyDescent="0.25">
      <c r="C840" s="2"/>
      <c r="D840" s="2"/>
    </row>
    <row r="841" spans="3:4" ht="13.2" x14ac:dyDescent="0.25">
      <c r="C841" s="2"/>
      <c r="D841" s="2"/>
    </row>
    <row r="842" spans="3:4" ht="13.2" x14ac:dyDescent="0.25">
      <c r="C842" s="2"/>
      <c r="D842" s="2"/>
    </row>
    <row r="843" spans="3:4" ht="13.2" x14ac:dyDescent="0.25">
      <c r="C843" s="2"/>
      <c r="D843" s="2"/>
    </row>
    <row r="844" spans="3:4" ht="13.2" x14ac:dyDescent="0.25">
      <c r="C844" s="2"/>
      <c r="D844" s="2"/>
    </row>
    <row r="845" spans="3:4" ht="13.2" x14ac:dyDescent="0.25">
      <c r="C845" s="2"/>
      <c r="D845" s="2"/>
    </row>
    <row r="846" spans="3:4" ht="13.2" x14ac:dyDescent="0.25">
      <c r="C846" s="2"/>
      <c r="D846" s="2"/>
    </row>
    <row r="847" spans="3:4" ht="13.2" x14ac:dyDescent="0.25">
      <c r="C847" s="2"/>
      <c r="D847" s="2"/>
    </row>
    <row r="848" spans="3:4" ht="13.2" x14ac:dyDescent="0.25">
      <c r="C848" s="2"/>
      <c r="D848" s="2"/>
    </row>
    <row r="849" spans="3:4" ht="13.2" x14ac:dyDescent="0.25">
      <c r="C849" s="2"/>
      <c r="D849" s="2"/>
    </row>
    <row r="850" spans="3:4" ht="13.2" x14ac:dyDescent="0.25">
      <c r="C850" s="2"/>
      <c r="D850" s="2"/>
    </row>
    <row r="851" spans="3:4" ht="13.2" x14ac:dyDescent="0.25">
      <c r="C851" s="2"/>
      <c r="D851" s="2"/>
    </row>
    <row r="852" spans="3:4" ht="13.2" x14ac:dyDescent="0.25">
      <c r="C852" s="2"/>
      <c r="D852" s="2"/>
    </row>
    <row r="853" spans="3:4" ht="13.2" x14ac:dyDescent="0.25">
      <c r="C853" s="2"/>
      <c r="D853" s="2"/>
    </row>
    <row r="854" spans="3:4" ht="13.2" x14ac:dyDescent="0.25">
      <c r="C854" s="2"/>
      <c r="D854" s="2"/>
    </row>
    <row r="855" spans="3:4" ht="13.2" x14ac:dyDescent="0.25">
      <c r="C855" s="2"/>
      <c r="D855" s="2"/>
    </row>
    <row r="856" spans="3:4" ht="13.2" x14ac:dyDescent="0.25">
      <c r="C856" s="2"/>
      <c r="D856" s="2"/>
    </row>
    <row r="857" spans="3:4" ht="13.2" x14ac:dyDescent="0.25">
      <c r="C857" s="2"/>
      <c r="D857" s="2"/>
    </row>
    <row r="858" spans="3:4" ht="13.2" x14ac:dyDescent="0.25">
      <c r="C858" s="2"/>
      <c r="D858" s="2"/>
    </row>
    <row r="859" spans="3:4" ht="13.2" x14ac:dyDescent="0.25">
      <c r="C859" s="2"/>
      <c r="D859" s="2"/>
    </row>
    <row r="860" spans="3:4" ht="13.2" x14ac:dyDescent="0.25">
      <c r="C860" s="2"/>
      <c r="D860" s="2"/>
    </row>
    <row r="861" spans="3:4" ht="13.2" x14ac:dyDescent="0.25">
      <c r="C861" s="2"/>
      <c r="D861" s="2"/>
    </row>
    <row r="862" spans="3:4" ht="13.2" x14ac:dyDescent="0.25">
      <c r="C862" s="2"/>
      <c r="D862" s="2"/>
    </row>
    <row r="863" spans="3:4" ht="13.2" x14ac:dyDescent="0.25">
      <c r="C863" s="2"/>
      <c r="D863" s="2"/>
    </row>
    <row r="864" spans="3:4" ht="13.2" x14ac:dyDescent="0.25">
      <c r="C864" s="2"/>
      <c r="D864" s="2"/>
    </row>
    <row r="865" spans="3:4" ht="13.2" x14ac:dyDescent="0.25">
      <c r="C865" s="2"/>
      <c r="D865" s="2"/>
    </row>
    <row r="866" spans="3:4" ht="13.2" x14ac:dyDescent="0.25">
      <c r="C866" s="2"/>
      <c r="D866" s="2"/>
    </row>
    <row r="867" spans="3:4" ht="13.2" x14ac:dyDescent="0.25">
      <c r="C867" s="2"/>
      <c r="D867" s="2"/>
    </row>
    <row r="868" spans="3:4" ht="13.2" x14ac:dyDescent="0.25">
      <c r="C868" s="2"/>
      <c r="D868" s="2"/>
    </row>
    <row r="869" spans="3:4" ht="13.2" x14ac:dyDescent="0.25">
      <c r="C869" s="2"/>
      <c r="D869" s="2"/>
    </row>
    <row r="870" spans="3:4" ht="13.2" x14ac:dyDescent="0.25">
      <c r="C870" s="2"/>
      <c r="D870" s="2"/>
    </row>
    <row r="871" spans="3:4" ht="13.2" x14ac:dyDescent="0.25">
      <c r="C871" s="2"/>
      <c r="D871" s="2"/>
    </row>
    <row r="872" spans="3:4" ht="13.2" x14ac:dyDescent="0.25">
      <c r="C872" s="2"/>
      <c r="D872" s="2"/>
    </row>
    <row r="873" spans="3:4" ht="13.2" x14ac:dyDescent="0.25">
      <c r="C873" s="2"/>
      <c r="D873" s="2"/>
    </row>
    <row r="874" spans="3:4" ht="13.2" x14ac:dyDescent="0.25">
      <c r="C874" s="2"/>
      <c r="D874" s="2"/>
    </row>
    <row r="875" spans="3:4" ht="13.2" x14ac:dyDescent="0.25">
      <c r="C875" s="2"/>
      <c r="D875" s="2"/>
    </row>
    <row r="876" spans="3:4" ht="13.2" x14ac:dyDescent="0.25">
      <c r="C876" s="2"/>
      <c r="D876" s="2"/>
    </row>
    <row r="877" spans="3:4" ht="13.2" x14ac:dyDescent="0.25">
      <c r="C877" s="2"/>
      <c r="D877" s="2"/>
    </row>
    <row r="878" spans="3:4" ht="13.2" x14ac:dyDescent="0.25">
      <c r="C878" s="2"/>
      <c r="D878" s="2"/>
    </row>
    <row r="879" spans="3:4" ht="13.2" x14ac:dyDescent="0.25">
      <c r="C879" s="2"/>
      <c r="D879" s="2"/>
    </row>
    <row r="880" spans="3:4" ht="13.2" x14ac:dyDescent="0.25">
      <c r="C880" s="2"/>
      <c r="D880" s="2"/>
    </row>
    <row r="881" spans="3:4" ht="13.2" x14ac:dyDescent="0.25">
      <c r="C881" s="2"/>
      <c r="D881" s="2"/>
    </row>
    <row r="882" spans="3:4" ht="13.2" x14ac:dyDescent="0.25">
      <c r="C882" s="2"/>
      <c r="D882" s="2"/>
    </row>
    <row r="883" spans="3:4" ht="13.2" x14ac:dyDescent="0.25">
      <c r="C883" s="2"/>
      <c r="D883" s="2"/>
    </row>
    <row r="884" spans="3:4" ht="13.2" x14ac:dyDescent="0.25">
      <c r="C884" s="2"/>
      <c r="D884" s="2"/>
    </row>
    <row r="885" spans="3:4" ht="13.2" x14ac:dyDescent="0.25">
      <c r="C885" s="2"/>
      <c r="D885" s="2"/>
    </row>
    <row r="886" spans="3:4" ht="13.2" x14ac:dyDescent="0.25">
      <c r="C886" s="2"/>
      <c r="D886" s="2"/>
    </row>
    <row r="887" spans="3:4" ht="13.2" x14ac:dyDescent="0.25">
      <c r="C887" s="2"/>
      <c r="D887" s="2"/>
    </row>
    <row r="888" spans="3:4" ht="13.2" x14ac:dyDescent="0.25">
      <c r="C888" s="2"/>
      <c r="D888" s="2"/>
    </row>
    <row r="889" spans="3:4" ht="13.2" x14ac:dyDescent="0.25">
      <c r="C889" s="2"/>
      <c r="D889" s="2"/>
    </row>
    <row r="890" spans="3:4" ht="13.2" x14ac:dyDescent="0.25">
      <c r="C890" s="2"/>
      <c r="D890" s="2"/>
    </row>
    <row r="891" spans="3:4" ht="13.2" x14ac:dyDescent="0.25">
      <c r="C891" s="2"/>
      <c r="D891" s="2"/>
    </row>
    <row r="892" spans="3:4" ht="13.2" x14ac:dyDescent="0.25">
      <c r="C892" s="2"/>
      <c r="D892" s="2"/>
    </row>
    <row r="893" spans="3:4" ht="13.2" x14ac:dyDescent="0.25">
      <c r="C893" s="2"/>
      <c r="D893" s="2"/>
    </row>
    <row r="894" spans="3:4" ht="13.2" x14ac:dyDescent="0.25">
      <c r="C894" s="2"/>
      <c r="D894" s="2"/>
    </row>
    <row r="895" spans="3:4" ht="13.2" x14ac:dyDescent="0.25">
      <c r="C895" s="2"/>
      <c r="D895" s="2"/>
    </row>
    <row r="896" spans="3:4" ht="13.2" x14ac:dyDescent="0.25">
      <c r="C896" s="2"/>
      <c r="D896" s="2"/>
    </row>
    <row r="897" spans="3:4" ht="13.2" x14ac:dyDescent="0.25">
      <c r="C897" s="2"/>
      <c r="D897" s="2"/>
    </row>
    <row r="898" spans="3:4" ht="13.2" x14ac:dyDescent="0.25">
      <c r="C898" s="2"/>
      <c r="D898" s="2"/>
    </row>
    <row r="899" spans="3:4" ht="13.2" x14ac:dyDescent="0.25">
      <c r="C899" s="2"/>
      <c r="D899" s="2"/>
    </row>
    <row r="900" spans="3:4" ht="13.2" x14ac:dyDescent="0.25">
      <c r="C900" s="2"/>
      <c r="D900" s="2"/>
    </row>
    <row r="901" spans="3:4" ht="13.2" x14ac:dyDescent="0.25">
      <c r="C901" s="2"/>
      <c r="D901" s="2"/>
    </row>
    <row r="902" spans="3:4" ht="13.2" x14ac:dyDescent="0.25">
      <c r="C902" s="2"/>
      <c r="D902" s="2"/>
    </row>
    <row r="903" spans="3:4" ht="13.2" x14ac:dyDescent="0.25">
      <c r="C903" s="2"/>
      <c r="D903" s="2"/>
    </row>
    <row r="904" spans="3:4" ht="13.2" x14ac:dyDescent="0.25">
      <c r="C904" s="2"/>
      <c r="D904" s="2"/>
    </row>
    <row r="905" spans="3:4" ht="13.2" x14ac:dyDescent="0.25">
      <c r="C905" s="2"/>
      <c r="D905" s="2"/>
    </row>
    <row r="906" spans="3:4" ht="13.2" x14ac:dyDescent="0.25">
      <c r="C906" s="2"/>
      <c r="D906" s="2"/>
    </row>
    <row r="907" spans="3:4" ht="13.2" x14ac:dyDescent="0.25">
      <c r="C907" s="2"/>
      <c r="D907" s="2"/>
    </row>
    <row r="908" spans="3:4" ht="13.2" x14ac:dyDescent="0.25">
      <c r="C908" s="2"/>
      <c r="D908" s="2"/>
    </row>
    <row r="909" spans="3:4" ht="13.2" x14ac:dyDescent="0.25">
      <c r="C909" s="2"/>
      <c r="D909" s="2"/>
    </row>
    <row r="910" spans="3:4" ht="13.2" x14ac:dyDescent="0.25">
      <c r="C910" s="2"/>
      <c r="D910" s="2"/>
    </row>
    <row r="911" spans="3:4" ht="13.2" x14ac:dyDescent="0.25">
      <c r="C911" s="2"/>
      <c r="D911" s="2"/>
    </row>
    <row r="912" spans="3:4" ht="13.2" x14ac:dyDescent="0.25">
      <c r="C912" s="2"/>
      <c r="D912" s="2"/>
    </row>
    <row r="913" spans="3:4" ht="13.2" x14ac:dyDescent="0.25">
      <c r="C913" s="2"/>
      <c r="D913" s="2"/>
    </row>
    <row r="914" spans="3:4" ht="13.2" x14ac:dyDescent="0.25">
      <c r="C914" s="2"/>
      <c r="D914" s="2"/>
    </row>
    <row r="915" spans="3:4" ht="13.2" x14ac:dyDescent="0.25">
      <c r="C915" s="2"/>
      <c r="D915" s="2"/>
    </row>
    <row r="916" spans="3:4" ht="13.2" x14ac:dyDescent="0.25">
      <c r="C916" s="2"/>
      <c r="D916" s="2"/>
    </row>
    <row r="917" spans="3:4" ht="13.2" x14ac:dyDescent="0.25">
      <c r="C917" s="2"/>
      <c r="D917" s="2"/>
    </row>
    <row r="918" spans="3:4" ht="13.2" x14ac:dyDescent="0.25">
      <c r="C918" s="2"/>
      <c r="D918" s="2"/>
    </row>
    <row r="919" spans="3:4" ht="13.2" x14ac:dyDescent="0.25">
      <c r="C919" s="2"/>
      <c r="D919" s="2"/>
    </row>
    <row r="920" spans="3:4" ht="13.2" x14ac:dyDescent="0.25">
      <c r="C920" s="2"/>
      <c r="D920" s="2"/>
    </row>
    <row r="921" spans="3:4" ht="13.2" x14ac:dyDescent="0.25">
      <c r="C921" s="2"/>
      <c r="D921" s="2"/>
    </row>
    <row r="922" spans="3:4" ht="13.2" x14ac:dyDescent="0.25">
      <c r="C922" s="2"/>
      <c r="D922" s="2"/>
    </row>
    <row r="923" spans="3:4" ht="13.2" x14ac:dyDescent="0.25">
      <c r="C923" s="2"/>
      <c r="D923" s="2"/>
    </row>
    <row r="924" spans="3:4" ht="13.2" x14ac:dyDescent="0.25">
      <c r="C924" s="2"/>
      <c r="D924" s="2"/>
    </row>
    <row r="925" spans="3:4" ht="13.2" x14ac:dyDescent="0.25">
      <c r="C925" s="2"/>
      <c r="D925" s="2"/>
    </row>
    <row r="926" spans="3:4" ht="13.2" x14ac:dyDescent="0.25">
      <c r="C926" s="2"/>
      <c r="D926" s="2"/>
    </row>
    <row r="927" spans="3:4" ht="13.2" x14ac:dyDescent="0.25">
      <c r="C927" s="2"/>
      <c r="D927" s="2"/>
    </row>
    <row r="928" spans="3:4" ht="13.2" x14ac:dyDescent="0.25">
      <c r="C928" s="2"/>
      <c r="D928" s="2"/>
    </row>
    <row r="929" spans="3:4" ht="13.2" x14ac:dyDescent="0.25">
      <c r="C929" s="2"/>
      <c r="D929" s="2"/>
    </row>
    <row r="930" spans="3:4" ht="13.2" x14ac:dyDescent="0.25">
      <c r="C930" s="2"/>
      <c r="D930" s="2"/>
    </row>
    <row r="931" spans="3:4" ht="13.2" x14ac:dyDescent="0.25">
      <c r="C931" s="2"/>
      <c r="D931" s="2"/>
    </row>
    <row r="932" spans="3:4" ht="13.2" x14ac:dyDescent="0.25">
      <c r="C932" s="2"/>
      <c r="D932" s="2"/>
    </row>
    <row r="933" spans="3:4" ht="13.2" x14ac:dyDescent="0.25">
      <c r="C933" s="2"/>
      <c r="D933" s="2"/>
    </row>
    <row r="934" spans="3:4" ht="13.2" x14ac:dyDescent="0.25">
      <c r="C934" s="2"/>
      <c r="D934" s="2"/>
    </row>
    <row r="935" spans="3:4" ht="13.2" x14ac:dyDescent="0.25">
      <c r="C935" s="2"/>
      <c r="D935" s="2"/>
    </row>
    <row r="936" spans="3:4" ht="13.2" x14ac:dyDescent="0.25">
      <c r="C936" s="2"/>
      <c r="D936" s="2"/>
    </row>
    <row r="937" spans="3:4" ht="13.2" x14ac:dyDescent="0.25">
      <c r="C937" s="2"/>
      <c r="D937" s="2"/>
    </row>
    <row r="938" spans="3:4" ht="13.2" x14ac:dyDescent="0.25">
      <c r="C938" s="2"/>
      <c r="D938" s="2"/>
    </row>
    <row r="939" spans="3:4" ht="13.2" x14ac:dyDescent="0.25">
      <c r="C939" s="2"/>
      <c r="D939" s="2"/>
    </row>
    <row r="940" spans="3:4" ht="13.2" x14ac:dyDescent="0.25">
      <c r="C940" s="2"/>
      <c r="D940" s="2"/>
    </row>
    <row r="941" spans="3:4" ht="13.2" x14ac:dyDescent="0.25">
      <c r="C941" s="2"/>
      <c r="D941" s="2"/>
    </row>
    <row r="942" spans="3:4" ht="13.2" x14ac:dyDescent="0.25">
      <c r="C942" s="2"/>
      <c r="D942" s="2"/>
    </row>
    <row r="943" spans="3:4" ht="13.2" x14ac:dyDescent="0.25">
      <c r="C943" s="2"/>
      <c r="D943" s="2"/>
    </row>
    <row r="944" spans="3:4" ht="13.2" x14ac:dyDescent="0.25">
      <c r="C944" s="2"/>
      <c r="D944" s="2"/>
    </row>
    <row r="945" spans="3:4" ht="13.2" x14ac:dyDescent="0.25">
      <c r="C945" s="2"/>
      <c r="D945" s="2"/>
    </row>
    <row r="946" spans="3:4" ht="13.2" x14ac:dyDescent="0.25">
      <c r="C946" s="2"/>
      <c r="D946" s="2"/>
    </row>
    <row r="947" spans="3:4" ht="13.2" x14ac:dyDescent="0.25">
      <c r="C947" s="2"/>
      <c r="D947" s="2"/>
    </row>
    <row r="948" spans="3:4" ht="13.2" x14ac:dyDescent="0.25">
      <c r="C948" s="2"/>
      <c r="D948" s="2"/>
    </row>
    <row r="949" spans="3:4" ht="13.2" x14ac:dyDescent="0.25">
      <c r="C949" s="2"/>
      <c r="D949" s="2"/>
    </row>
    <row r="950" spans="3:4" ht="13.2" x14ac:dyDescent="0.25">
      <c r="C950" s="2"/>
      <c r="D950" s="2"/>
    </row>
    <row r="951" spans="3:4" ht="13.2" x14ac:dyDescent="0.25">
      <c r="C951" s="2"/>
      <c r="D951" s="2"/>
    </row>
    <row r="952" spans="3:4" ht="13.2" x14ac:dyDescent="0.25">
      <c r="C952" s="2"/>
      <c r="D952" s="2"/>
    </row>
    <row r="953" spans="3:4" ht="13.2" x14ac:dyDescent="0.25">
      <c r="C953" s="2"/>
      <c r="D953" s="2"/>
    </row>
    <row r="954" spans="3:4" ht="13.2" x14ac:dyDescent="0.25">
      <c r="C954" s="2"/>
      <c r="D954" s="2"/>
    </row>
    <row r="955" spans="3:4" ht="13.2" x14ac:dyDescent="0.25">
      <c r="C955" s="2"/>
      <c r="D955" s="2"/>
    </row>
    <row r="956" spans="3:4" ht="13.2" x14ac:dyDescent="0.25">
      <c r="C956" s="2"/>
      <c r="D956" s="2"/>
    </row>
    <row r="957" spans="3:4" ht="13.2" x14ac:dyDescent="0.25">
      <c r="C957" s="2"/>
      <c r="D957" s="2"/>
    </row>
    <row r="958" spans="3:4" ht="13.2" x14ac:dyDescent="0.25">
      <c r="C958" s="2"/>
      <c r="D958" s="2"/>
    </row>
    <row r="959" spans="3:4" ht="13.2" x14ac:dyDescent="0.25">
      <c r="C959" s="2"/>
      <c r="D959" s="2"/>
    </row>
    <row r="960" spans="3:4" ht="13.2" x14ac:dyDescent="0.25">
      <c r="C960" s="2"/>
      <c r="D960" s="2"/>
    </row>
    <row r="961" spans="3:4" ht="13.2" x14ac:dyDescent="0.25">
      <c r="C961" s="2"/>
      <c r="D961" s="2"/>
    </row>
    <row r="962" spans="3:4" ht="13.2" x14ac:dyDescent="0.25">
      <c r="C962" s="2"/>
      <c r="D962" s="2"/>
    </row>
    <row r="963" spans="3:4" ht="13.2" x14ac:dyDescent="0.25">
      <c r="C963" s="2"/>
      <c r="D963" s="2"/>
    </row>
    <row r="964" spans="3:4" ht="13.2" x14ac:dyDescent="0.25">
      <c r="C964" s="2"/>
      <c r="D964" s="2"/>
    </row>
    <row r="965" spans="3:4" ht="13.2" x14ac:dyDescent="0.25">
      <c r="C965" s="2"/>
      <c r="D965" s="2"/>
    </row>
    <row r="966" spans="3:4" ht="13.2" x14ac:dyDescent="0.25">
      <c r="C966" s="2"/>
      <c r="D966" s="2"/>
    </row>
    <row r="967" spans="3:4" ht="13.2" x14ac:dyDescent="0.25">
      <c r="C967" s="2"/>
      <c r="D967" s="2"/>
    </row>
    <row r="968" spans="3:4" ht="13.2" x14ac:dyDescent="0.25">
      <c r="C968" s="2"/>
      <c r="D968" s="2"/>
    </row>
    <row r="969" spans="3:4" ht="13.2" x14ac:dyDescent="0.25">
      <c r="C969" s="2"/>
      <c r="D969" s="2"/>
    </row>
    <row r="970" spans="3:4" ht="13.2" x14ac:dyDescent="0.25">
      <c r="C970" s="2"/>
      <c r="D970" s="2"/>
    </row>
    <row r="971" spans="3:4" ht="13.2" x14ac:dyDescent="0.25">
      <c r="C971" s="2"/>
      <c r="D971" s="2"/>
    </row>
    <row r="972" spans="3:4" ht="13.2" x14ac:dyDescent="0.25">
      <c r="C972" s="2"/>
      <c r="D972" s="2"/>
    </row>
    <row r="973" spans="3:4" ht="13.2" x14ac:dyDescent="0.25">
      <c r="C973" s="2"/>
      <c r="D973" s="2"/>
    </row>
    <row r="974" spans="3:4" ht="13.2" x14ac:dyDescent="0.25">
      <c r="C974" s="2"/>
      <c r="D974" s="2"/>
    </row>
    <row r="975" spans="3:4" ht="13.2" x14ac:dyDescent="0.25">
      <c r="C975" s="2"/>
      <c r="D975" s="2"/>
    </row>
    <row r="976" spans="3:4" ht="13.2" x14ac:dyDescent="0.25">
      <c r="C976" s="2"/>
      <c r="D976" s="2"/>
    </row>
    <row r="977" spans="3:4" ht="13.2" x14ac:dyDescent="0.25">
      <c r="C977" s="2"/>
      <c r="D977" s="2"/>
    </row>
    <row r="978" spans="3:4" ht="13.2" x14ac:dyDescent="0.25">
      <c r="C978" s="2"/>
      <c r="D978" s="2"/>
    </row>
    <row r="979" spans="3:4" ht="13.2" x14ac:dyDescent="0.25">
      <c r="C979" s="2"/>
      <c r="D979" s="2"/>
    </row>
    <row r="980" spans="3:4" ht="13.2" x14ac:dyDescent="0.25">
      <c r="C980" s="2"/>
      <c r="D980" s="2"/>
    </row>
    <row r="981" spans="3:4" ht="13.2" x14ac:dyDescent="0.25">
      <c r="C981" s="2"/>
      <c r="D981" s="2"/>
    </row>
    <row r="982" spans="3:4" ht="13.2" x14ac:dyDescent="0.25">
      <c r="C982" s="2"/>
      <c r="D982" s="2"/>
    </row>
    <row r="983" spans="3:4" ht="13.2" x14ac:dyDescent="0.25">
      <c r="C983" s="2"/>
      <c r="D983" s="2"/>
    </row>
    <row r="984" spans="3:4" ht="13.2" x14ac:dyDescent="0.25">
      <c r="C984" s="2"/>
      <c r="D984" s="2"/>
    </row>
    <row r="985" spans="3:4" ht="13.2" x14ac:dyDescent="0.25">
      <c r="C985" s="2"/>
      <c r="D985" s="2"/>
    </row>
    <row r="986" spans="3:4" ht="13.2" x14ac:dyDescent="0.25">
      <c r="C986" s="2"/>
      <c r="D986" s="2"/>
    </row>
    <row r="987" spans="3:4" ht="13.2" x14ac:dyDescent="0.25">
      <c r="C987" s="2"/>
      <c r="D987" s="2"/>
    </row>
    <row r="988" spans="3:4" ht="13.2" x14ac:dyDescent="0.25">
      <c r="C988" s="2"/>
      <c r="D988" s="2"/>
    </row>
    <row r="989" spans="3:4" ht="13.2" x14ac:dyDescent="0.25">
      <c r="C989" s="2"/>
      <c r="D989" s="2"/>
    </row>
    <row r="990" spans="3:4" ht="13.2" x14ac:dyDescent="0.25">
      <c r="C990" s="2"/>
      <c r="D990" s="2"/>
    </row>
    <row r="991" spans="3:4" ht="13.2" x14ac:dyDescent="0.25">
      <c r="C991" s="2"/>
      <c r="D991" s="2"/>
    </row>
    <row r="992" spans="3:4" ht="13.2" x14ac:dyDescent="0.25">
      <c r="C992" s="2"/>
      <c r="D992" s="2"/>
    </row>
    <row r="993" spans="3:4" ht="13.2" x14ac:dyDescent="0.25">
      <c r="C993" s="2"/>
      <c r="D993" s="2"/>
    </row>
    <row r="994" spans="3:4" ht="13.2" x14ac:dyDescent="0.25">
      <c r="C994" s="2"/>
      <c r="D994" s="2"/>
    </row>
    <row r="995" spans="3:4" ht="13.2" x14ac:dyDescent="0.25">
      <c r="C995" s="2"/>
      <c r="D995" s="2"/>
    </row>
    <row r="996" spans="3:4" ht="13.2" x14ac:dyDescent="0.25">
      <c r="C996" s="2"/>
      <c r="D996" s="2"/>
    </row>
    <row r="997" spans="3:4" ht="13.2" x14ac:dyDescent="0.25">
      <c r="C997" s="2"/>
      <c r="D997" s="2"/>
    </row>
    <row r="998" spans="3:4" ht="13.2" x14ac:dyDescent="0.25">
      <c r="C998" s="2"/>
      <c r="D998" s="2"/>
    </row>
    <row r="999" spans="3:4" ht="13.2" x14ac:dyDescent="0.25">
      <c r="C999" s="2"/>
      <c r="D999" s="2"/>
    </row>
    <row r="1000" spans="3:4" ht="13.2" x14ac:dyDescent="0.25">
      <c r="C1000" s="2"/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of Sales &amp; Profit</vt:lpstr>
      <vt:lpstr>Profit&amp;Loss</vt:lpstr>
      <vt:lpstr> Price Elasticity Summary</vt:lpstr>
      <vt:lpstr>Promotion Seasons</vt:lpstr>
      <vt:lpstr>Sales Per Year</vt:lpstr>
      <vt:lpstr>Total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Lihle Ndlovu</dc:creator>
  <cp:lastModifiedBy>Lihle Ndlovu</cp:lastModifiedBy>
  <dcterms:created xsi:type="dcterms:W3CDTF">2025-10-25T14:16:47Z</dcterms:created>
  <dcterms:modified xsi:type="dcterms:W3CDTF">2025-10-27T15:27:09Z</dcterms:modified>
</cp:coreProperties>
</file>